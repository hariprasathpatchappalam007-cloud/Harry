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 DSR Comparison" sheetId="1" state="visible" r:id="rId1"/>
  </sheets>
  <definedNames>
    <definedName name="_xlnm.Print_Titles" localSheetId="0">'Simple DSR Comparison'!$1:$6</definedName>
    <definedName name="_xlnm.Print_Area" localSheetId="0">'Simple DSR Comparison'!$A$1:$R$21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000&quot; pp&quot;;[Red](0.0000)&quot; pp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202020"/>
      <sz val="11"/>
    </font>
    <font>
      <name val="Calibri"/>
      <b val="1"/>
      <color rgb="00FFFFFF"/>
      <sz val="11"/>
    </font>
    <font>
      <name val="Calibri"/>
      <b val="1"/>
      <color rgb="00202020"/>
      <sz val="1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64" fontId="2" fillId="4" borderId="0" applyAlignment="1" pivotButton="0" quotePrefix="0" xfId="0">
      <alignment vertical="center" wrapText="1"/>
    </xf>
    <xf numFmtId="10" fontId="4" fillId="5" borderId="0" applyAlignment="1" pivotButton="0" quotePrefix="0" xfId="0">
      <alignment vertical="center" wrapText="1"/>
    </xf>
    <xf numFmtId="165" fontId="2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10" fontId="4" fillId="6" borderId="0" applyAlignment="1" pivotButton="0" quotePrefix="0" xfId="0">
      <alignment vertical="center" wrapText="1"/>
    </xf>
    <xf numFmtId="165" fontId="2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impleDSR" displayName="SimpleDSR" ref="A6:R21" headerRowCount="1">
  <autoFilter ref="A6:R21"/>
  <tableColumns count="18">
    <tableColumn id="1" name="Case"/>
    <tableColumn id="2" name="PF / MF"/>
    <tableColumn id="3" name="Application Ref"/>
    <tableColumn id="4" name="Total Income"/>
    <tableColumn id="5" name="MBRE LIC_x000a_(assumed 0)"/>
    <tableColumn id="6" name="Lead Life Takaful"/>
    <tableColumn id="7" name="Lead EMI"/>
    <tableColumn id="8" name="Staff EMI_x000a_(assumed 0)"/>
    <tableColumn id="9" name="Staff Life Takaful_x000a_(assumed 0)"/>
    <tableColumn id="10" name="Frequency"/>
    <tableColumn id="11" name="Factor"/>
    <tableColumn id="12" name="Included Liabilities_x000a_(Yes only)"/>
    <tableColumn id="13" name="Derived DSR"/>
    <tableColumn id="14" name="Stored LEAD_DSR"/>
    <tableColumn id="15" name="Difference_x000a_(pp)"/>
    <tableColumn id="16" name="Match Check"/>
    <tableColumn id="17" name="Monthly Burden Gap_x000a_(Stored - Derived)"/>
    <tableColumn id="18" name="Explanation / data cave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R21"/>
  <ns0:sheetViews>
    <ns0:sheetView showGridLines="0" zoomScale="75" workbookViewId="0">
      <ns0:pane xSplit="3" ySplit="6" topLeftCell="D7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1" customWidth="1" min="1" max="1"/>
    <ns0:col width="10" customWidth="1" min="2" max="2"/>
    <ns0:col width="19" customWidth="1" min="3" max="3"/>
    <ns0:col width="17" customWidth="1" min="4" max="4"/>
    <ns0:col width="15" customWidth="1" min="5" max="5"/>
    <ns0:col width="17" customWidth="1" min="6" max="6"/>
    <ns0:col width="17" customWidth="1" min="7" max="7"/>
    <ns0:col width="15" customWidth="1" min="8" max="8"/>
    <ns0:col width="18" customWidth="1" min="9" max="9"/>
    <ns0:col width="12" customWidth="1" min="10" max="10"/>
    <ns0:col width="10" customWidth="1" min="11" max="11"/>
    <ns0:col width="22" customWidth="1" min="12" max="12"/>
    <ns0:col width="17" customWidth="1" min="13" max="13"/>
    <ns0:col width="18" customWidth="1" min="14" max="14"/>
    <ns0:col width="19" customWidth="1" min="15" max="15"/>
    <ns0:col width="17" customWidth="1" min="16" max="16"/>
    <ns0:col width="24" customWidth="1" min="17" max="17"/>
    <ns0:col width="88" customWidth="1" min="18" max="18"/>
  </ns0:cols>
  <ns0:sheetData>
    <ns0:row r="1" ht="32" customHeight="1">
      <ns0:c r="A1" s="1" t="inlineStr">
        <ns0:is>
          <ns0:t>PF &amp; MF - SIMPLE DSR CALCULATION AND MATCH CHECK</ns0:t>
        </ns0:is>
      </ns0:c>
    </ns0:row>
    <ns0:row r="2" ht="30" customHeight="1">
      <ns0:c r="A2" s="2" t="inlineStr">
        <ns0:is>
          <ns0:t>Formula: DSR (%) = [((MBRE LIC + Lead Life Takaful) / Frequency) + (Lead EMI / Frequency) + ((Staff EMI + Staff Life Takaful) / Frequency) + Included Liabilities] x Factor / Total Income x 100</ns0:t>
        </ns0:is>
      </ns0:c>
    </ns0:row>
    <ns0:row r="3" ht="30" customHeight="1">
      <ns0:c r="A3" s="2" t="inlineStr">
        <ns0:is>
          <ns0:t>Liabilities: add Customer_LIB_AMOUNT ONLY when Consider_Obligation = Yes; No is excluded. All assigned source liabilities are active. Click an Included Liabilities cell to see the amounts added.</ns0:t>
        </ns0:is>
      </ns0:c>
    </ns0:row>
    <ns0:row r="4" ht="30" customHeight="1">
      <ns0:c r="A4" s="3" t="inlineStr">
        <ns0:is>
          <ns0:t>Agreed assumptions: Frequency=1; Factor=1; unavailable MBRE LIC, Staff EMI and Staff Life Takaful=0. Income is summed once per applicant; blank co-applicant income contributes 0 and is flagged.</ns0:t>
        </ns0:is>
      </ns0:c>
    </ns0:row>
    <ns0:row r="5" ht="30" customHeight="1">
      <ns0:c r="A5" s="2" t="inlineStr">
        <ns0:is>
          <ns0:t>GREEN = matches LEAD_DSR after rounding to 2 decimals. RED = does not match. Difference = Derived DSR minus LEAD_DSR, in percentage points (pp). AMBER = data caveat; * = provisional PF/MF pairing.</ns0:t>
        </ns0:is>
      </ns0:c>
    </ns0:row>
    <ns0:row r="6" ht="52" customHeight="1">
      <ns0:c r="A6" s="4" t="inlineStr">
        <ns0:is>
          <ns0:t>Case</ns0:t>
        </ns0:is>
      </ns0:c>
      <ns0:c r="B6" s="4" t="inlineStr">
        <ns0:is>
          <ns0:t>PF / MF</ns0:t>
        </ns0:is>
      </ns0:c>
      <ns0:c r="C6" s="4" t="inlineStr">
        <ns0:is>
          <ns0:t>Application Ref</ns0:t>
        </ns0:is>
      </ns0:c>
      <ns0:c r="D6" s="4" t="inlineStr">
        <ns0:is>
          <ns0:t>Total Income</ns0:t>
        </ns0:is>
      </ns0:c>
      <ns0:c r="E6" s="4" t="inlineStr">
        <ns0:is>
          <ns0:t>MBRE LIC
(assumed 0)</ns0:t>
        </ns0:is>
      </ns0:c>
      <ns0:c r="F6" s="4" t="inlineStr">
        <ns0:is>
          <ns0:t>Lead Life Takaful</ns0:t>
        </ns0:is>
      </ns0:c>
      <ns0:c r="G6" s="4" t="inlineStr">
        <ns0:is>
          <ns0:t>Lead EMI</ns0:t>
        </ns0:is>
      </ns0:c>
      <ns0:c r="H6" s="4" t="inlineStr">
        <ns0:is>
          <ns0:t>Staff EMI
(assumed 0)</ns0:t>
        </ns0:is>
      </ns0:c>
      <ns0:c r="I6" s="4" t="inlineStr">
        <ns0:is>
          <ns0:t>Staff Life Takaful
(assumed 0)</ns0:t>
        </ns0:is>
      </ns0:c>
      <ns0:c r="J6" s="4" t="inlineStr">
        <ns0:is>
          <ns0:t>Frequency</ns0:t>
        </ns0:is>
      </ns0:c>
      <ns0:c r="K6" s="4" t="inlineStr">
        <ns0:is>
          <ns0:t>Factor</ns0:t>
        </ns0:is>
      </ns0:c>
      <ns0:c r="L6" s="4" t="inlineStr">
        <ns0:is>
          <ns0:t>Included Liabilities
(Yes only)</ns0:t>
        </ns0:is>
      </ns0:c>
      <ns0:c r="M6" s="4" t="inlineStr">
        <ns0:is>
          <ns0:t>Derived DSR</ns0:t>
        </ns0:is>
      </ns0:c>
      <ns0:c r="N6" s="4" t="inlineStr">
        <ns0:is>
          <ns0:t>Stored LEAD_DSR</ns0:t>
        </ns0:is>
      </ns0:c>
      <ns0:c r="O6" s="4" t="inlineStr">
        <ns0:is>
          <ns0:t>Difference
(pp)</ns0:t>
        </ns0:is>
      </ns0:c>
      <ns0:c r="P6" s="4" t="inlineStr">
        <ns0:is>
          <ns0:t>Match Check</ns0:t>
        </ns0:is>
      </ns0:c>
      <ns0:c r="Q6" s="4" t="inlineStr">
        <ns0:is>
          <ns0:t>Monthly Burden Gap
(Stored - Derived)</ns0:t>
        </ns0:is>
      </ns0:c>
      <ns0:c r="R6" s="4" t="inlineStr">
        <ns0:is>
          <ns0:t>Explanation / data caveat</ns0:t>
        </ns0:is>
      </ns0:c>
    </ns0:row>
    <ns0:row r="7" ht="82" customHeight="1">
      <ns0:c r="A7" s="5" t="inlineStr">
        <ns0:is>
          <ns0:t>1*</ns0:t>
        </ns0:is>
      </ns0:c>
      <ns0:c r="B7" s="2" t="inlineStr">
        <ns0:is>
          <ns0:t>PF</ns0:t>
        </ns0:is>
      </ns0:c>
      <ns0:c r="C7" s="5" t="inlineStr">
        <ns0:is>
          <ns0:t>PF182386</ns0:t>
        </ns0:is>
      </ns0:c>
      <ns0:c r="D7" s="6" t="n">
        <ns0:v>32020</ns0:v>
      </ns0:c>
      <ns0:c r="E7" s="7" t="n">
        <ns0:v>0</ns0:v>
      </ns0:c>
      <ns0:c r="F7" s="6" t="n">
        <ns0:v>321</ns0:v>
      </ns0:c>
      <ns0:c r="G7" s="6" t="n">
        <ns0:v>11443.56</ns0:v>
      </ns0:c>
      <ns0:c r="H7" s="7" t="n">
        <ns0:v>0</ns0:v>
      </ns0:c>
      <ns0:c r="I7" s="7" t="n">
        <ns0:v>0</ns0:v>
      </ns0:c>
      <ns0:c r="J7" s="3" t="n">
        <ns0:v>1</ns0:v>
      </ns0:c>
      <ns0:c r="K7" s="3" t="n">
        <ns0:v>1</ns0:v>
      </ns0:c>
      <ns0:c r="L7" s="6">
        <ns0:f>SUM(4541)</ns0:f>
        <ns0:v>4541.0</ns0:v>
      </ns0:c>
      <ns0:c r="M7" s="8">
        <ns0:f>(((E7+F7)/J7)+(G7/J7)+((H7+I7)/J7)+L7)*K7/D7</ns0:f>
        <ns0:v>0.5092304809494066</ns0:v>
      </ns0:c>
      <ns0:c r="N7" s="8" t="n">
        <ns0:v>0.5092</ns0:v>
      </ns0:c>
      <ns0:c r="O7" s="9">
        <ns0:f>(M7-N7)*100</ns0:f>
        <ns0:v>0.0030480949406620863</ns0:v>
      </ns0:c>
      <ns0:c r="P7" s="10" t="str">
        <ns0:f>IF(ROUND(M7*100,2)=ROUND(N7*100,2),"MATCH","MISMATCH")</ns0:f>
        <ns0:v>MATCH</ns0:v>
      </ns0:c>
      <ns0:c r="Q7" s="6">
        <ns0:f>N7*D7/K7-(((E7+F7)/J7)+(G7/J7)+((H7+I7)/J7)+L7)</ns0:f>
        <ns0:v>-0.976</ns0:v>
      </ns0:c>
      <ns0:c r="R7" s="3" t="inlineStr">
        <ns0:is>
          <ns0:t>Matches using Yes-only liabilities; minor unrounded differences are rounding. Provisional pair: MF predecessor is PF182306, not supplied PF182386.</ns0:t>
        </ns0:is>
      </ns0:c>
    </ns0:row>
    <ns0:row r="8" ht="82" customHeight="1">
      <ns0:c r="A8" s="5" t="inlineStr">
        <ns0:is>
          <ns0:t>1*</ns0:t>
        </ns0:is>
      </ns0:c>
      <ns0:c r="B8" s="11" t="inlineStr">
        <ns0:is>
          <ns0:t>MF</ns0:t>
        </ns0:is>
      </ns0:c>
      <ns0:c r="C8" s="5" t="inlineStr">
        <ns0:is>
          <ns0:t>MF186574</ns0:t>
        </ns0:is>
      </ns0:c>
      <ns0:c r="D8" s="6" t="n">
        <ns0:v>32020</ns0:v>
      </ns0:c>
      <ns0:c r="E8" s="7" t="n">
        <ns0:v>0</ns0:v>
      </ns0:c>
      <ns0:c r="F8" s="6" t="n">
        <ns0:v>201.05</ns0:v>
      </ns0:c>
      <ns0:c r="G8" s="6" t="n">
        <ns0:v>11221.94</ns0:v>
      </ns0:c>
      <ns0:c r="H8" s="7" t="n">
        <ns0:v>0</ns0:v>
      </ns0:c>
      <ns0:c r="I8" s="7" t="n">
        <ns0:v>0</ns0:v>
      </ns0:c>
      <ns0:c r="J8" s="3" t="n">
        <ns0:v>1</ns0:v>
      </ns0:c>
      <ns0:c r="K8" s="3" t="n">
        <ns0:v>1</ns0:v>
      </ns0:c>
      <ns0:c r="L8" s="6">
        <ns0:f>SUM(4582)</ns0:f>
        <ns0:v>4582.0</ns0:v>
      </ns0:c>
      <ns0:c r="M8" s="12">
        <ns0:f>(((E8+F8)/J8)+(G8/J8)+((H8+I8)/J8)+L8)*K8/D8</ns0:f>
        <ns0:v>0.49984353529044345</ns0:v>
      </ns0:c>
      <ns0:c r="N8" s="12" t="n">
        <ns0:v>0.9385</ns0:v>
      </ns0:c>
      <ns0:c r="O8" s="13">
        <ns0:f>(M8-N8)*100</ns0:f>
        <ns0:v>-43.86564647095565</ns0:v>
      </ns0:c>
      <ns0:c r="P8" s="14" t="str">
        <ns0:f>IF(ROUND(M8*100,2)=ROUND(N8*100,2),"MATCH","MISMATCH")</ns0:f>
        <ns0:v>MISMATCH</ns0:v>
      </ns0:c>
      <ns0:c r="Q8" s="6">
        <ns0:f>N8*D8/K8-(((E8+F8)/J8)+(G8/J8)+((H8+I8)/J8)+L8)</ns0:f>
        <ns0:v>14045.78</ns0:v>
      </ns0:c>
      <ns0:c r="R8" s="3" t="inlineStr">
        <ns0:is>
          <ns0:t>Does not match supplied LEAD_DSR. Positive burden gap means extra monthly burden is needed; negative means supplied burden is higher. Exact historical inputs required. Provisional pair: MF predecessor is PF182306, not supplied PF182386.</ns0:t>
        </ns0:is>
      </ns0:c>
    </ns0:row>
    <ns0:row r="9" ht="82" customHeight="1">
      <ns0:c r="A9" s="5" t="inlineStr">
        <ns0:is>
          <ns0:t>2</ns0:t>
        </ns0:is>
      </ns0:c>
      <ns0:c r="B9" s="2" t="inlineStr">
        <ns0:is>
          <ns0:t>PF</ns0:t>
        </ns0:is>
      </ns0:c>
      <ns0:c r="C9" s="5" t="inlineStr">
        <ns0:is>
          <ns0:t>PF183876</ns0:t>
        </ns0:is>
      </ns0:c>
      <ns0:c r="D9" s="6" t="n">
        <ns0:v>47938</ns0:v>
      </ns0:c>
      <ns0:c r="E9" s="7" t="n">
        <ns0:v>0</ns0:v>
      </ns0:c>
      <ns0:c r="F9" s="6" t="n">
        <ns0:v>528</ns0:v>
      </ns0:c>
      <ns0:c r="G9" s="6" t="n">
        <ns0:v>17270.45</ns0:v>
      </ns0:c>
      <ns0:c r="H9" s="7" t="n">
        <ns0:v>0</ns0:v>
      </ns0:c>
      <ns0:c r="I9" s="7" t="n">
        <ns0:v>0</ns0:v>
      </ns0:c>
      <ns0:c r="J9" s="3" t="n">
        <ns0:v>1</ns0:v>
      </ns0:c>
      <ns0:c r="K9" s="3" t="n">
        <ns0:v>1</ns0:v>
      </ns0:c>
      <ns0:c r="L9" s="6">
        <ns0:f>SUM(1144.6)</ns0:f>
        <ns0:v>1144.6</ns0:v>
      </ns0:c>
      <ns0:c r="M9" s="12">
        <ns0:f>(((E9+F9)/J9)+(G9/J9)+((H9+I9)/J9)+L9)*K9/D9</ns0:f>
        <ns0:v>0.3951572864950561</ns0:v>
      </ns0:c>
      <ns0:c r="N9" s="12" t="n">
        <ns0:v>0.569</ns0:v>
      </ns0:c>
      <ns0:c r="O9" s="13">
        <ns0:f>(M9-N9)*100</ns0:f>
        <ns0:v>-17.384271350494387</ns0:v>
      </ns0:c>
      <ns0:c r="P9" s="14" t="str">
        <ns0:f>IF(ROUND(M9*100,2)=ROUND(N9*100,2),"MATCH","MISMATCH")</ns0:f>
        <ns0:v>MISMATCH</ns0:v>
      </ns0:c>
      <ns0:c r="Q9" s="6">
        <ns0:f>N9*D9/K9-(((E9+F9)/J9)+(G9/J9)+((H9+I9)/J9)+L9)</ns0:f>
        <ns0:v>8333.672</ns0:v>
      </ns0:c>
      <ns0:c r="R9" s="5" t="inlineStr">
        <ns0:is>
          <ns0:t>Does not match supplied LEAD_DSR. Positive burden gap means extra monthly burden is needed; negative means supplied burden is higher. Exact historical inputs required.</ns0:t>
        </ns0:is>
      </ns0:c>
    </ns0:row>
    <ns0:row r="10" ht="82" customHeight="1">
      <ns0:c r="A10" s="5" t="inlineStr">
        <ns0:is>
          <ns0:t>2</ns0:t>
        </ns0:is>
      </ns0:c>
      <ns0:c r="B10" s="11" t="inlineStr">
        <ns0:is>
          <ns0:t>MF</ns0:t>
        </ns0:is>
      </ns0:c>
      <ns0:c r="C10" s="5" t="inlineStr">
        <ns0:is>
          <ns0:t>MF187674</ns0:t>
        </ns0:is>
      </ns0:c>
      <ns0:c r="D10" s="6" t="n">
        <ns0:v>47938</ns0:v>
      </ns0:c>
      <ns0:c r="E10" s="7" t="n">
        <ns0:v>0</ns0:v>
      </ns0:c>
      <ns0:c r="F10" s="6" t="n">
        <ns0:v>372.67</ns0:v>
      </ns0:c>
      <ns0:c r="G10" s="6" t="n">
        <ns0:v>19035.48</ns0:v>
      </ns0:c>
      <ns0:c r="H10" s="7" t="n">
        <ns0:v>0</ns0:v>
      </ns0:c>
      <ns0:c r="I10" s="7" t="n">
        <ns0:v>0</ns0:v>
      </ns0:c>
      <ns0:c r="J10" s="3" t="n">
        <ns0:v>1</ns0:v>
      </ns0:c>
      <ns0:c r="K10" s="3" t="n">
        <ns0:v>1</ns0:v>
      </ns0:c>
      <ns0:c r="L10" s="6">
        <ns0:f>SUM(1144.6,8939.85,6000,6000,14312.43)</ns0:f>
        <ns0:v>36396.88</ns0:v>
      </ns0:c>
      <ns0:c r="M10" s="12">
        <ns0:f>(((E10+F10)/J10)+(G10/J10)+((H10+I10)/J10)+L10)*K10/D10</ns0:f>
        <ns0:v>1.1641084317243107</ns0:v>
      </ns0:c>
      <ns0:c r="N10" s="12" t="n">
        <ns0:v>0.9964</ns0:v>
      </ns0:c>
      <ns0:c r="O10" s="13">
        <ns0:f>(M10-N10)*100</ns0:f>
        <ns0:v>16.770843172431057</ns0:v>
      </ns0:c>
      <ns0:c r="P10" s="14" t="str">
        <ns0:f>IF(ROUND(M10*100,2)=ROUND(N10*100,2),"MATCH","MISMATCH")</ns0:f>
        <ns0:v>MISMATCH</ns0:v>
      </ns0:c>
      <ns0:c r="Q10" s="6">
        <ns0:f>N10*D10/K10-(((E10+F10)/J10)+(G10/J10)+((H10+I10)/J10)+L10)</ns0:f>
        <ns0:v>-8039.6068</ns0:v>
      </ns0:c>
      <ns0:c r="R10" s="5" t="inlineStr">
        <ns0:is>
          <ns0:t>Does not match supplied LEAD_DSR. Positive burden gap means extra monthly burden is needed; negative means supplied burden is higher. Exact historical inputs required.</ns0:t>
        </ns0:is>
      </ns0:c>
    </ns0:row>
    <ns0:row r="11" ht="82" customHeight="1">
      <ns0:c r="A11" s="5" t="inlineStr">
        <ns0:is>
          <ns0:t>3</ns0:t>
        </ns0:is>
      </ns0:c>
      <ns0:c r="B11" s="2" t="inlineStr">
        <ns0:is>
          <ns0:t>PF</ns0:t>
        </ns0:is>
      </ns0:c>
      <ns0:c r="C11" s="5" t="inlineStr">
        <ns0:is>
          <ns0:t>PF184910</ns0:t>
        </ns0:is>
      </ns0:c>
      <ns0:c r="D11" s="6" t="n">
        <ns0:v>27600</ns0:v>
      </ns0:c>
      <ns0:c r="E11" s="7" t="n">
        <ns0:v>0</ns0:v>
      </ns0:c>
      <ns0:c r="F11" s="6" t="n">
        <ns0:v>258.18</ns0:v>
      </ns0:c>
      <ns0:c r="G11" s="6" t="n">
        <ns0:v>13506.65</ns0:v>
      </ns0:c>
      <ns0:c r="H11" s="7" t="n">
        <ns0:v>0</ns0:v>
      </ns0:c>
      <ns0:c r="I11" s="7" t="n">
        <ns0:v>0</ns0:v>
      </ns0:c>
      <ns0:c r="J11" s="3" t="n">
        <ns0:v>1</ns0:v>
      </ns0:c>
      <ns0:c r="K11" s="3" t="n">
        <ns0:v>1</ns0:v>
      </ns0:c>
      <ns0:c r="L11" s="6">
        <ns0:f>0</ns0:f>
        <ns0:v>0.0</ns0:v>
      </ns0:c>
      <ns0:c r="M11" s="8">
        <ns0:f>(((E11+F11)/J11)+(G11/J11)+((H11+I11)/J11)+L11)*K11/D11</ns0:f>
        <ns0:v>0.49872572463768117</ns0:v>
      </ns0:c>
      <ns0:c r="N11" s="8" t="n">
        <ns0:v>0.4987</ns0:v>
      </ns0:c>
      <ns0:c r="O11" s="9">
        <ns0:f>(M11-N11)*100</ns0:f>
        <ns0:v>0.002572463768115942</ns0:v>
      </ns0:c>
      <ns0:c r="P11" s="10" t="str">
        <ns0:f>IF(ROUND(M11*100,2)=ROUND(N11*100,2),"MATCH","MISMATCH")</ns0:f>
        <ns0:v>MATCH</ns0:v>
      </ns0:c>
      <ns0:c r="Q11" s="6">
        <ns0:f>N11*D11/K11-(((E11+F11)/J11)+(G11/J11)+((H11+I11)/J11)+L11)</ns0:f>
        <ns0:v>-0.71</ns0:v>
      </ns0:c>
      <ns0:c r="R11" s="5" t="inlineStr">
        <ns0:is>
          <ns0:t>Matches using Yes-only liabilities; minor unrounded differences are rounding.</ns0:t>
        </ns0:is>
      </ns0:c>
    </ns0:row>
    <ns0:row r="12" ht="82" customHeight="1">
      <ns0:c r="A12" s="5" t="inlineStr">
        <ns0:is>
          <ns0:t>3</ns0:t>
        </ns0:is>
      </ns0:c>
      <ns0:c r="B12" s="11" t="inlineStr">
        <ns0:is>
          <ns0:t>MF</ns0:t>
        </ns0:is>
      </ns0:c>
      <ns0:c r="C12" s="5" t="inlineStr">
        <ns0:is>
          <ns0:t>MF186489</ns0:t>
        </ns0:is>
      </ns0:c>
      <ns0:c r="D12" s="6" t="n">
        <ns0:v>27600</ns0:v>
      </ns0:c>
      <ns0:c r="E12" s="7" t="n">
        <ns0:v>0</ns0:v>
      </ns0:c>
      <ns0:c r="F12" s="6" t="n">
        <ns0:v>250.78</ns0:v>
      </ns0:c>
      <ns0:c r="G12" s="6" t="n">
        <ns0:v>12809.1</ns0:v>
      </ns0:c>
      <ns0:c r="H12" s="7" t="n">
        <ns0:v>0</ns0:v>
      </ns0:c>
      <ns0:c r="I12" s="7" t="n">
        <ns0:v>0</ns0:v>
      </ns0:c>
      <ns0:c r="J12" s="3" t="n">
        <ns0:v>1</ns0:v>
      </ns0:c>
      <ns0:c r="K12" s="3" t="n">
        <ns0:v>1</ns0:v>
      </ns0:c>
      <ns0:c r="L12" s="6">
        <ns0:f>SUM(4921,8338)</ns0:f>
        <ns0:v>13259.0</ns0:v>
      </ns0:c>
      <ns0:c r="M12" s="12">
        <ns0:f>(((E12+F12)/J12)+(G12/J12)+((H12+I12)/J12)+L12)*K12/D12</ns0:f>
        <ns0:v>0.9535826086956521</ns0:v>
      </ns0:c>
      <ns0:c r="N12" s="12" t="n">
        <ns0:v>1.0648</ns0:v>
      </ns0:c>
      <ns0:c r="O12" s="13">
        <ns0:f>(M12-N12)*100</ns0:f>
        <ns0:v>-11.121739130434783</ns0:v>
      </ns0:c>
      <ns0:c r="P12" s="14" t="str">
        <ns0:f>IF(ROUND(M12*100,2)=ROUND(N12*100,2),"MATCH","MISMATCH")</ns0:f>
        <ns0:v>MISMATCH</ns0:v>
      </ns0:c>
      <ns0:c r="Q12" s="6">
        <ns0:f>N12*D12/K12-(((E12+F12)/J12)+(G12/J12)+((H12+I12)/J12)+L12)</ns0:f>
        <ns0:v>3069.6</ns0:v>
      </ns0:c>
      <ns0:c r="R12" s="5" t="inlineStr">
        <ns0:is>
          <ns0:t>Does not match supplied LEAD_DSR. Positive burden gap means extra monthly burden is needed; negative means supplied burden is higher. Exact historical inputs required.</ns0:t>
        </ns0:is>
      </ns0:c>
    </ns0:row>
    <ns0:row r="13" ht="82" customHeight="1">
      <ns0:c r="A13" s="5" t="inlineStr">
        <ns0:is>
          <ns0:t>4</ns0:t>
        </ns0:is>
      </ns0:c>
      <ns0:c r="B13" s="2" t="inlineStr">
        <ns0:is>
          <ns0:t>PF</ns0:t>
        </ns0:is>
      </ns0:c>
      <ns0:c r="C13" s="5" t="inlineStr">
        <ns0:is>
          <ns0:t>PF188166</ns0:t>
        </ns0:is>
      </ns0:c>
      <ns0:c r="D13" s="6" t="n">
        <ns0:v>64458</ns0:v>
      </ns0:c>
      <ns0:c r="E13" s="7" t="n">
        <ns0:v>0</ns0:v>
      </ns0:c>
      <ns0:c r="F13" s="6" t="n">
        <ns0:v>137.27</ns0:v>
      </ns0:c>
      <ns0:c r="G13" s="6" t="n">
        <ns0:v>8905.68</ns0:v>
      </ns0:c>
      <ns0:c r="H13" s="7" t="n">
        <ns0:v>0</ns0:v>
      </ns0:c>
      <ns0:c r="I13" s="7" t="n">
        <ns0:v>0</ns0:v>
      </ns0:c>
      <ns0:c r="J13" s="3" t="n">
        <ns0:v>1</ns0:v>
      </ns0:c>
      <ns0:c r="K13" s="3" t="n">
        <ns0:v>1</ns0:v>
      </ns0:c>
      <ns0:c r="L13" s="6">
        <ns0:f>SUM(1050,9375,50,6180,2413)</ns0:f>
        <ns0:v>19068.0</ns0:v>
      </ns0:c>
      <ns0:c r="M13" s="12">
        <ns0:f>(((E13+F13)/J13)+(G13/J13)+((H13+I13)/J13)+L13)*K13/D13</ns0:f>
        <ns0:v>0.43611266250892056</ns0:v>
      </ns0:c>
      <ns0:c r="N13" s="12" t="n">
        <ns0:v>0.4671</ns0:v>
      </ns0:c>
      <ns0:c r="O13" s="13">
        <ns0:f>(M13-N13)*100</ns0:f>
        <ns0:v>-3.098733749107946</ns0:v>
      </ns0:c>
      <ns0:c r="P13" s="14" t="str">
        <ns0:f>IF(ROUND(M13*100,2)=ROUND(N13*100,2),"MATCH","MISMATCH")</ns0:f>
        <ns0:v>MISMATCH</ns0:v>
      </ns0:c>
      <ns0:c r="Q13" s="6">
        <ns0:f>N13*D13/K13-(((E13+F13)/J13)+(G13/J13)+((H13+I13)/J13)+L13)</ns0:f>
        <ns0:v>1997.3818</ns0:v>
      </ns0:c>
      <ns0:c r="R13" s="3" t="inlineStr">
        <ns0:is>
          <ns0:t>Does not match supplied LEAD_DSR. Positive burden gap means extra monthly burden is needed; negative means supplied burden is higher. Exact historical inputs required. Blank co-app income assumed 0.</ns0:t>
        </ns0:is>
      </ns0:c>
    </ns0:row>
    <ns0:row r="14" ht="82" customHeight="1">
      <ns0:c r="A14" s="5" t="inlineStr">
        <ns0:is>
          <ns0:t>4</ns0:t>
        </ns0:is>
      </ns0:c>
      <ns0:c r="B14" s="11" t="inlineStr">
        <ns0:is>
          <ns0:t>MF</ns0:t>
        </ns0:is>
      </ns0:c>
      <ns0:c r="C14" s="5" t="inlineStr">
        <ns0:is>
          <ns0:t>MF189169</ns0:t>
        </ns0:is>
      </ns0:c>
      <ns0:c r="D14" s="6" t="n">
        <ns0:v>64458</ns0:v>
      </ns0:c>
      <ns0:c r="E14" s="7" t="n">
        <ns0:v>0</ns0:v>
      </ns0:c>
      <ns0:c r="F14" s="6" t="n">
        <ns0:v>136.05</ns0:v>
      </ns0:c>
      <ns0:c r="G14" s="6" t="n">
        <ns0:v>8825.76</ns0:v>
      </ns0:c>
      <ns0:c r="H14" s="7" t="n">
        <ns0:v>0</ns0:v>
      </ns0:c>
      <ns0:c r="I14" s="7" t="n">
        <ns0:v>0</ns0:v>
      </ns0:c>
      <ns0:c r="J14" s="3" t="n">
        <ns0:v>1</ns0:v>
      </ns0:c>
      <ns0:c r="K14" s="3" t="n">
        <ns0:v>1</ns0:v>
      </ns0:c>
      <ns0:c r="L14" s="6">
        <ns0:f>SUM(2413,9216,6180,50,9375,0,0,17242.41)</ns0:f>
        <ns0:v>44476.41</ns0:v>
      </ns0:c>
      <ns0:c r="M14" s="12">
        <ns0:f>(((E14+F14)/J14)+(G14/J14)+((H14+I14)/J14)+L14)*K14/D14</ns0:f>
        <ns0:v>0.8290393744764032</ns0:v>
      </ns0:c>
      <ns0:c r="N14" s="12" t="n">
        <ns0:v>0.6081</ns0:v>
      </ns0:c>
      <ns0:c r="O14" s="13">
        <ns0:f>(M14-N14)*100</ns0:f>
        <ns0:v>22.093937447640325</ns0:v>
      </ns0:c>
      <ns0:c r="P14" s="14" t="str">
        <ns0:f>IF(ROUND(M14*100,2)=ROUND(N14*100,2),"MATCH","MISMATCH")</ns0:f>
        <ns0:v>MISMATCH</ns0:v>
      </ns0:c>
      <ns0:c r="Q14" s="6">
        <ns0:f>N14*D14/K14-(((E14+F14)/J14)+(G14/J14)+((H14+I14)/J14)+L14)</ns0:f>
        <ns0:v>-14241.3102</ns0:v>
      </ns0:c>
      <ns0:c r="R14" s="3" t="inlineStr">
        <ns0:is>
          <ns0:t>Does not match supplied LEAD_DSR. Positive burden gap means extra monthly burden is needed; negative means supplied burden is higher. Exact historical inputs required. Blank co-app income assumed 0.</ns0:t>
        </ns0:is>
      </ns0:c>
    </ns0:row>
    <ns0:row r="15" ht="82" customHeight="1">
      <ns0:c r="A15" s="5" t="inlineStr">
        <ns0:is>
          <ns0:t>5</ns0:t>
        </ns0:is>
      </ns0:c>
      <ns0:c r="B15" s="2" t="inlineStr">
        <ns0:is>
          <ns0:t>PF</ns0:t>
        </ns0:is>
      </ns0:c>
      <ns0:c r="C15" s="5" t="inlineStr">
        <ns0:is>
          <ns0:t>PF191083</ns0:t>
        </ns0:is>
      </ns0:c>
      <ns0:c r="D15" s="6" t="n">
        <ns0:v>40440</ns0:v>
      </ns0:c>
      <ns0:c r="E15" s="7" t="n">
        <ns0:v>0</ns0:v>
      </ns0:c>
      <ns0:c r="F15" s="6" t="n">
        <ns0:v>368.23</ns0:v>
      </ns0:c>
      <ns0:c r="G15" s="6" t="n">
        <ns0:v>19152.6</ns0:v>
      </ns0:c>
      <ns0:c r="H15" s="7" t="n">
        <ns0:v>0</ns0:v>
      </ns0:c>
      <ns0:c r="I15" s="7" t="n">
        <ns0:v>0</ns0:v>
      </ns0:c>
      <ns0:c r="J15" s="3" t="n">
        <ns0:v>1</ns0:v>
      </ns0:c>
      <ns0:c r="K15" s="3" t="n">
        <ns0:v>1</ns0:v>
      </ns0:c>
      <ns0:c r="L15" s="6">
        <ns0:f>0</ns0:f>
        <ns0:v>0.0</ns0:v>
      </ns0:c>
      <ns0:c r="M15" s="8">
        <ns0:f>(((E15+F15)/J15)+(G15/J15)+((H15+I15)/J15)+L15)*K15/D15</ns0:f>
        <ns0:v>0.48271092977250246</ns0:v>
      </ns0:c>
      <ns0:c r="N15" s="8" t="n">
        <ns0:v>0.4827</ns0:v>
      </ns0:c>
      <ns0:c r="O15" s="9">
        <ns0:f>(M15-N15)*100</ns0:f>
        <ns0:v>0.00109297725024728</ns0:v>
      </ns0:c>
      <ns0:c r="P15" s="10" t="str">
        <ns0:f>IF(ROUND(M15*100,2)=ROUND(N15*100,2),"MATCH","MISMATCH")</ns0:f>
        <ns0:v>MATCH</ns0:v>
      </ns0:c>
      <ns0:c r="Q15" s="6">
        <ns0:f>N15*D15/K15-(((E15+F15)/J15)+(G15/J15)+((H15+I15)/J15)+L15)</ns0:f>
        <ns0:v>-0.442</ns0:v>
      </ns0:c>
      <ns0:c r="R15" s="3" t="inlineStr">
        <ns0:is>
          <ns0:t>NO LIABILITY ROWS supplied: liabilities shown as 0 for comparison, not confirmed zero debt. Matches using Yes-only liabilities; minor unrounded differences are rounding.</ns0:t>
        </ns0:is>
      </ns0:c>
    </ns0:row>
    <ns0:row r="16" ht="82" customHeight="1">
      <ns0:c r="A16" s="5" t="inlineStr">
        <ns0:is>
          <ns0:t>5</ns0:t>
        </ns0:is>
      </ns0:c>
      <ns0:c r="B16" s="11" t="inlineStr">
        <ns0:is>
          <ns0:t>MF</ns0:t>
        </ns0:is>
      </ns0:c>
      <ns0:c r="C16" s="5" t="inlineStr">
        <ns0:is>
          <ns0:t>MF192489</ns0:t>
        </ns0:is>
      </ns0:c>
      <ns0:c r="D16" s="6" t="n">
        <ns0:v>40440</ns0:v>
      </ns0:c>
      <ns0:c r="E16" s="7" t="n">
        <ns0:v>0</ns0:v>
      </ns0:c>
      <ns0:c r="F16" s="6" t="n">
        <ns0:v>358.65</ns0:v>
      </ns0:c>
      <ns0:c r="G16" s="6" t="n">
        <ns0:v>18269.2</ns0:v>
      </ns0:c>
      <ns0:c r="H16" s="7" t="n">
        <ns0:v>0</ns0:v>
      </ns0:c>
      <ns0:c r="I16" s="7" t="n">
        <ns0:v>0</ns0:v>
      </ns0:c>
      <ns0:c r="J16" s="3" t="n">
        <ns0:v>1</ns0:v>
      </ns0:c>
      <ns0:c r="K16" s="3" t="n">
        <ns0:v>1</ns0:v>
      </ns0:c>
      <ns0:c r="L16" s="6">
        <ns0:f>0</ns0:f>
        <ns0:v>0.0</ns0:v>
      </ns0:c>
      <ns0:c r="M16" s="12">
        <ns0:f>(((E16+F16)/J16)+(G16/J16)+((H16+I16)/J16)+L16)*K16/D16</ns0:f>
        <ns0:v>0.46062932739861523</ns0:v>
      </ns0:c>
      <ns0:c r="N16" s="12" t="n">
        <ns0:v>0.887</ns0:v>
      </ns0:c>
      <ns0:c r="O16" s="13">
        <ns0:f>(M16-N16)*100</ns0:f>
        <ns0:v>-42.63706726013848</ns0:v>
      </ns0:c>
      <ns0:c r="P16" s="14" t="str">
        <ns0:f>IF(ROUND(M16*100,2)=ROUND(N16*100,2),"MATCH","MISMATCH")</ns0:f>
        <ns0:v>MISMATCH</ns0:v>
      </ns0:c>
      <ns0:c r="Q16" s="6">
        <ns0:f>N16*D16/K16-(((E16+F16)/J16)+(G16/J16)+((H16+I16)/J16)+L16)</ns0:f>
        <ns0:v>17242.43</ns0:v>
      </ns0:c>
      <ns0:c r="R16" s="3" t="inlineStr">
        <ns0:is>
          <ns0:t>NO LIABILITY ROWS supplied: liabilities shown as 0 for comparison, not confirmed zero debt. Does not match supplied LEAD_DSR. Positive burden gap means extra monthly burden is needed; negative means supplied burden is higher. Exact historical inputs required.</ns0:t>
        </ns0:is>
      </ns0:c>
    </ns0:row>
    <ns0:row r="17" ht="82" customHeight="1">
      <ns0:c r="A17" s="5" t="inlineStr">
        <ns0:is>
          <ns0:t>6</ns0:t>
        </ns0:is>
      </ns0:c>
      <ns0:c r="B17" s="2" t="inlineStr">
        <ns0:is>
          <ns0:t>PF</ns0:t>
        </ns0:is>
      </ns0:c>
      <ns0:c r="C17" s="5" t="inlineStr">
        <ns0:is>
          <ns0:t>PF193166</ns0:t>
        </ns0:is>
      </ns0:c>
      <ns0:c r="D17" s="6" t="n">
        <ns0:v>51925</ns0:v>
      </ns0:c>
      <ns0:c r="E17" s="7" t="n">
        <ns0:v>0</ns0:v>
      </ns0:c>
      <ns0:c r="F17" s="6" t="n">
        <ns0:v>267.86</ns0:v>
      </ns0:c>
      <ns0:c r="G17" s="6" t="n">
        <ns0:v>13485.6</ns0:v>
      </ns0:c>
      <ns0:c r="H17" s="7" t="n">
        <ns0:v>0</ns0:v>
      </ns0:c>
      <ns0:c r="I17" s="7" t="n">
        <ns0:v>0</ns0:v>
      </ns0:c>
      <ns0:c r="J17" s="3" t="n">
        <ns0:v>1</ns0:v>
      </ns0:c>
      <ns0:c r="K17" s="3" t="n">
        <ns0:v>1</ns0:v>
      </ns0:c>
      <ns0:c r="L17" s="6">
        <ns0:f>SUM(6654,997)</ns0:f>
        <ns0:v>7651.0</ns0:v>
      </ns0:c>
      <ns0:c r="M17" s="8">
        <ns0:f>(((E17+F17)/J17)+(G17/J17)+((H17+I17)/J17)+L17)*K17/D17</ns0:f>
        <ns0:v>0.4122187770823303</ns0:v>
      </ns0:c>
      <ns0:c r="N17" s="8" t="n">
        <ns0:v>0.4122</ns0:v>
      </ns0:c>
      <ns0:c r="O17" s="9">
        <ns0:f>(M17-N17)*100</ns0:f>
        <ns0:v>0.0018777082330284063</ns0:v>
      </ns0:c>
      <ns0:c r="P17" s="10" t="str">
        <ns0:f>IF(ROUND(M17*100,2)=ROUND(N17*100,2),"MATCH","MISMATCH")</ns0:f>
        <ns0:v>MATCH</ns0:v>
      </ns0:c>
      <ns0:c r="Q17" s="6">
        <ns0:f>N17*D17/K17-(((E17+F17)/J17)+(G17/J17)+((H17+I17)/J17)+L17)</ns0:f>
        <ns0:v>-0.975</ns0:v>
      </ns0:c>
      <ns0:c r="R17" s="5" t="inlineStr">
        <ns0:is>
          <ns0:t>Matches using Yes-only liabilities; minor unrounded differences are rounding.</ns0:t>
        </ns0:is>
      </ns0:c>
    </ns0:row>
    <ns0:row r="18" ht="82" customHeight="1">
      <ns0:c r="A18" s="5" t="inlineStr">
        <ns0:is>
          <ns0:t>6</ns0:t>
        </ns0:is>
      </ns0:c>
      <ns0:c r="B18" s="11" t="inlineStr">
        <ns0:is>
          <ns0:t>MF</ns0:t>
        </ns0:is>
      </ns0:c>
      <ns0:c r="C18" s="5" t="inlineStr">
        <ns0:is>
          <ns0:t>MF195006</ns0:t>
        </ns0:is>
      </ns0:c>
      <ns0:c r="D18" s="6" t="n">
        <ns0:v>51925</ns0:v>
      </ns0:c>
      <ns0:c r="E18" s="7" t="n">
        <ns0:v>0</ns0:v>
      </ns0:c>
      <ns0:c r="F18" s="6" t="n">
        <ns0:v>265.34</ns0:v>
      </ns0:c>
      <ns0:c r="G18" s="6" t="n">
        <ns0:v>13516.51</ns0:v>
      </ns0:c>
      <ns0:c r="H18" s="7" t="n">
        <ns0:v>0</ns0:v>
      </ns0:c>
      <ns0:c r="I18" s="7" t="n">
        <ns0:v>0</ns0:v>
      </ns0:c>
      <ns0:c r="J18" s="3" t="n">
        <ns0:v>1</ns0:v>
      </ns0:c>
      <ns0:c r="K18" s="3" t="n">
        <ns0:v>1</ns0:v>
      </ns0:c>
      <ns0:c r="L18" s="6">
        <ns0:f>SUM(997,6654,14937)</ns0:f>
        <ns0:v>22588.0</ns0:v>
      </ns0:c>
      <ns0:c r="M18" s="8">
        <ns0:f>(((E18+F18)/J18)+(G18/J18)+((H18+I18)/J18)+L18)*K18/D18</ns0:f>
        <ns0:v>0.700430428502648</ns0:v>
      </ns0:c>
      <ns0:c r="N18" s="8" t="n">
        <ns0:v>0.7004</ns0:v>
      </ns0:c>
      <ns0:c r="O18" s="9">
        <ns0:f>(M18-N18)*100</ns0:f>
        <ns0:v>0.003042850264805007</ns0:v>
      </ns0:c>
      <ns0:c r="P18" s="10" t="str">
        <ns0:f>IF(ROUND(M18*100,2)=ROUND(N18*100,2),"MATCH","MISMATCH")</ns0:f>
        <ns0:v>MATCH</ns0:v>
      </ns0:c>
      <ns0:c r="Q18" s="6">
        <ns0:f>N18*D18/K18-(((E18+F18)/J18)+(G18/J18)+((H18+I18)/J18)+L18)</ns0:f>
        <ns0:v>-1.58</ns0:v>
      </ns0:c>
      <ns0:c r="R18" s="5" t="inlineStr">
        <ns0:is>
          <ns0:t>Matches using Yes-only liabilities; minor unrounded differences are rounding.</ns0:t>
        </ns0:is>
      </ns0:c>
    </ns0:row>
    <ns0:row r="19" ht="82" customHeight="1">
      <ns0:c r="A19" s="5" t="inlineStr">
        <ns0:is>
          <ns0:t>7</ns0:t>
        </ns0:is>
      </ns0:c>
      <ns0:c r="B19" s="2" t="inlineStr">
        <ns0:is>
          <ns0:t>PF</ns0:t>
        </ns0:is>
      </ns0:c>
      <ns0:c r="C19" s="5" t="inlineStr">
        <ns0:is>
          <ns0:t>PF197879</ns0:t>
        </ns0:is>
      </ns0:c>
      <ns0:c r="D19" s="6" t="n">
        <ns0:v>56031</ns0:v>
      </ns0:c>
      <ns0:c r="E19" s="7" t="n">
        <ns0:v>0</ns0:v>
      </ns0:c>
      <ns0:c r="F19" s="6" t="n">
        <ns0:v>340.05</ns0:v>
      </ns0:c>
      <ns0:c r="G19" s="6" t="n">
        <ns0:v>24831.71</ns0:v>
      </ns0:c>
      <ns0:c r="H19" s="7" t="n">
        <ns0:v>0</ns0:v>
      </ns0:c>
      <ns0:c r="I19" s="7" t="n">
        <ns0:v>0</ns0:v>
      </ns0:c>
      <ns0:c r="J19" s="3" t="n">
        <ns0:v>1</ns0:v>
      </ns0:c>
      <ns0:c r="K19" s="3" t="n">
        <ns0:v>1</ns0:v>
      </ns0:c>
      <ns0:c r="L19" s="6">
        <ns0:f>SUM(2500)</ns0:f>
        <ns0:v>2500.0</ns0:v>
      </ns0:c>
      <ns0:c r="M19" s="8">
        <ns0:f>(((E19+F19)/J19)+(G19/J19)+((H19+I19)/J19)+L19)*K19/D19</ns0:f>
        <ns0:v>0.4938651817743749</ns0:v>
      </ns0:c>
      <ns0:c r="N19" s="8" t="n">
        <ns0:v>0.4939</ns0:v>
      </ns0:c>
      <ns0:c r="O19" s="9">
        <ns0:f>(M19-N19)*100</ns0:f>
        <ns0:v>-0.0034818225625100393</ns0:v>
      </ns0:c>
      <ns0:c r="P19" s="10" t="str">
        <ns0:f>IF(ROUND(M19*100,2)=ROUND(N19*100,2),"MATCH","MISMATCH")</ns0:f>
        <ns0:v>MATCH</ns0:v>
      </ns0:c>
      <ns0:c r="Q19" s="6">
        <ns0:f>N19*D19/K19-(((E19+F19)/J19)+(G19/J19)+((H19+I19)/J19)+L19)</ns0:f>
        <ns0:v>1.9509</ns0:v>
      </ns0:c>
      <ns0:c r="R19" s="5" t="inlineStr">
        <ns0:is>
          <ns0:t>Matches using Yes-only liabilities; minor unrounded differences are rounding.</ns0:t>
        </ns0:is>
      </ns0:c>
    </ns0:row>
    <ns0:row r="20" ht="82" customHeight="1">
      <ns0:c r="A20" s="5" t="inlineStr">
        <ns0:is>
          <ns0:t>7</ns0:t>
        </ns0:is>
      </ns0:c>
      <ns0:c r="B20" s="11" t="inlineStr">
        <ns0:is>
          <ns0:t>MF</ns0:t>
        </ns0:is>
      </ns0:c>
      <ns0:c r="C20" s="5" t="inlineStr">
        <ns0:is>
          <ns0:t>MF302327</ns0:t>
        </ns0:is>
      </ns0:c>
      <ns0:c r="D20" s="6" t="n">
        <ns0:v>56031</ns0:v>
      </ns0:c>
      <ns0:c r="E20" s="7" t="n">
        <ns0:v>0</ns0:v>
      </ns0:c>
      <ns0:c r="F20" s="6" t="n">
        <ns0:v>316.2</ns0:v>
      </ns0:c>
      <ns0:c r="G20" s="6" t="n">
        <ns0:v>23228.14</ns0:v>
      </ns0:c>
      <ns0:c r="H20" s="7" t="n">
        <ns0:v>0</ns0:v>
      </ns0:c>
      <ns0:c r="I20" s="7" t="n">
        <ns0:v>0</ns0:v>
      </ns0:c>
      <ns0:c r="J20" s="3" t="n">
        <ns0:v>1</ns0:v>
      </ns0:c>
      <ns0:c r="K20" s="3" t="n">
        <ns0:v>1</ns0:v>
      </ns0:c>
      <ns0:c r="L20" s="6">
        <ns0:f>SUM(25508,3000,750,1250)</ns0:f>
        <ns0:v>30508.0</ns0:v>
      </ns0:c>
      <ns0:c r="M20" s="12">
        <ns0:f>(((E20+F20)/J20)+(G20/J20)+((H20+I20)/J20)+L20)*K20/D20</ns0:f>
        <ns0:v>0.9646863343506273</ns0:v>
      </ns0:c>
      <ns0:c r="N20" s="12" t="n">
        <ns0:v>1.0361</ns0:v>
      </ns0:c>
      <ns0:c r="O20" s="13">
        <ns0:f>(M20-N20)*100</ns0:f>
        <ns0:v>-7.141366564937267</ns0:v>
      </ns0:c>
      <ns0:c r="P20" s="14" t="str">
        <ns0:f>IF(ROUND(M20*100,2)=ROUND(N20*100,2),"MATCH","MISMATCH")</ns0:f>
        <ns0:v>MISMATCH</ns0:v>
      </ns0:c>
      <ns0:c r="Q20" s="6">
        <ns0:f>N20*D20/K20-(((E20+F20)/J20)+(G20/J20)+((H20+I20)/J20)+L20)</ns0:f>
        <ns0:v>4001.3791</ns0:v>
      </ns0:c>
      <ns0:c r="R20" s="5" t="inlineStr">
        <ns0:is>
          <ns0:t>Does not match supplied LEAD_DSR. Positive burden gap means extra monthly burden is needed; negative means supplied burden is higher. Exact historical inputs required.</ns0:t>
        </ns0:is>
      </ns0:c>
    </ns0:row>
    <ns0:row r="21" ht="82" customHeight="1">
      <ns0:c r="A21" s="5" t="inlineStr">
        <ns0:is>
          <ns0:t>Unpaired</ns0:t>
        </ns0:is>
      </ns0:c>
      <ns0:c r="B21" s="11" t="inlineStr">
        <ns0:is>
          <ns0:t>MF</ns0:t>
        </ns0:is>
      </ns0:c>
      <ns0:c r="C21" s="5" t="inlineStr">
        <ns0:is>
          <ns0:t>MF183562</ns0:t>
        </ns0:is>
      </ns0:c>
      <ns0:c r="D21" s="6" t="n">
        <ns0:v>17050</ns0:v>
      </ns0:c>
      <ns0:c r="E21" s="7" t="n">
        <ns0:v>0</ns0:v>
      </ns0:c>
      <ns0:c r="F21" s="6" t="n">
        <ns0:v>103.9</ns0:v>
      </ns0:c>
      <ns0:c r="G21" s="6" t="n">
        <ns0:v>5486.43</ns0:v>
      </ns0:c>
      <ns0:c r="H21" s="7" t="n">
        <ns0:v>0</ns0:v>
      </ns0:c>
      <ns0:c r="I21" s="7" t="n">
        <ns0:v>0</ns0:v>
      </ns0:c>
      <ns0:c r="J21" s="3" t="n">
        <ns0:v>1</ns0:v>
      </ns0:c>
      <ns0:c r="K21" s="3" t="n">
        <ns0:v>1</ns0:v>
      </ns0:c>
      <ns0:c r="L21" s="6">
        <ns0:f>SUM(2320,6199)</ns0:f>
        <ns0:v>8519.0</ns0:v>
      </ns0:c>
      <ns0:c r="M21" s="12">
        <ns0:f>(((E21+F21)/J21)+(G21/J21)+((H21+I21)/J21)+L21)*K21/D21</ns0:f>
        <ns0:v>0.8275266862170088</ns0:v>
      </ns0:c>
      <ns0:c r="N21" s="12" t="n">
        <ns0:v>0.8258</ns0:v>
      </ns0:c>
      <ns0:c r="O21" s="13">
        <ns0:f>(M21-N21)*100</ns0:f>
        <ns0:v>0.17266862170087977</ns0:v>
      </ns0:c>
      <ns0:c r="P21" s="14" t="str">
        <ns0:f>IF(ROUND(M21*100,2)=ROUND(N21*100,2),"MATCH","MISMATCH")</ns0:f>
        <ns0:v>MISMATCH</ns0:v>
      </ns0:c>
      <ns0:c r="Q21" s="6">
        <ns0:f>N21*D21/K21-(((E21+F21)/J21)+(G21/J21)+((H21+I21)/J21)+L21)</ns0:f>
        <ns0:v>-29.44</ns0:v>
      </ns0:c>
      <ns0:c r="R21" s="3" t="inlineStr">
        <ns0:is>
          <ns0:t>Does not match supplied LEAD_DSR. Positive burden gap means extra monthly burden is needed; negative means supplied burden is higher. Exact historical inputs required. No PF predecessor provided.</ns0:t>
        </ns0:is>
      </ns0:c>
    </ns0:row>
  </ns0:sheetData>
  <ns0:mergeCells count="5">
    <ns0:mergeCell ref="A3:R3"/>
    <ns0:mergeCell ref="A2:R2"/>
    <ns0:mergeCell ref="A5:R5"/>
    <ns0:mergeCell ref="A1:R1"/>
    <ns0:mergeCell ref="A4:R4"/>
  </ns0:mergeCells>
  <ns0:conditionalFormatting sqref="M7:M21">
    <ns0:cfRule type="expression" priority="1" dxfId="0">
      <ns0:formula>$P7="MATCH"</ns0:formula>
    </ns0:cfRule>
    <ns0:cfRule type="expression" priority="2" dxfId="1">
      <ns0:formula>$P7="MISMATCH"</ns0:formula>
    </ns0:cfRule>
  </ns0:conditionalFormatting>
  <ns0:conditionalFormatting sqref="N7:N21">
    <ns0:cfRule type="expression" priority="3" dxfId="0">
      <ns0:formula>$P7="MATCH"</ns0:formula>
    </ns0:cfRule>
    <ns0:cfRule type="expression" priority="4" dxfId="1">
      <ns0:formula>$P7="MISMATCH"</ns0:formula>
    </ns0:cfRule>
  </ns0:conditionalFormatting>
  <ns0:conditionalFormatting sqref="O7:O21">
    <ns0:cfRule type="expression" priority="5" dxfId="0">
      <ns0:formula>$P7="MATCH"</ns0:formula>
    </ns0:cfRule>
    <ns0:cfRule type="expression" priority="6" dxfId="1">
      <ns0:formula>$P7="MISMATCH"</ns0:formula>
    </ns0:cfRule>
  </ns0:conditionalFormatting>
  <ns0:conditionalFormatting sqref="P7:P21">
    <ns0:cfRule type="expression" priority="7" dxfId="0">
      <ns0:formula>$P7="MATCH"</ns0:formula>
    </ns0:cfRule>
    <ns0:cfRule type="expression" priority="8" dxfId="1">
      <ns0:formula>$P7="MISMATCH"</ns0:formula>
    </ns0:cfRule>
  </ns0:conditionalFormatting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2026-10-29T12:23:01Z</dcterms:created>
  <dcterms:modified xmlns:dcterms="http://purl.org/dc/terms/" xmlns:xsi="http://www.w3.org/2001/XMLSchema-instance" xsi:type="dcterms:W3CDTF">2026-10-29T12:23:01Z</dcterms:modified>
</cp:coreProperties>
</file>