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binaya\source\GITHub\DSRIssue\"/>
    </mc:Choice>
  </mc:AlternateContent>
  <xr:revisionPtr revIDLastSave="0" documentId="13_ncr:1_{D3AD3219-1CD6-4EEB-9A95-42F6A20AD3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F MF Side by Side" sheetId="1" r:id="rId1"/>
    <sheet name="PF MF Differences Only" sheetId="2" r:id="rId2"/>
  </sheets>
  <definedNames>
    <definedName name="_xlnm.Print_Titles" localSheetId="1">'PF MF Differences Only'!$1:$4</definedName>
    <definedName name="_xlnm.Print_Titles" localSheetId="0">'PF MF Side by Side'!$1:$8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2" l="1"/>
  <c r="Z11" i="2"/>
  <c r="W11" i="2"/>
  <c r="Z10" i="2"/>
  <c r="W10" i="2"/>
  <c r="Z9" i="2"/>
  <c r="W9" i="2"/>
  <c r="Z8" i="2"/>
  <c r="W8" i="2"/>
  <c r="Z7" i="2"/>
  <c r="W7" i="2"/>
  <c r="Z6" i="2"/>
  <c r="W6" i="2"/>
  <c r="Z5" i="2"/>
  <c r="W5" i="2"/>
  <c r="T5" i="2"/>
  <c r="T6" i="2"/>
  <c r="T7" i="2"/>
  <c r="T8" i="2"/>
  <c r="T9" i="2"/>
  <c r="T10" i="2"/>
  <c r="T11" i="2"/>
  <c r="S12" i="2"/>
  <c r="M12" i="2"/>
  <c r="J12" i="2"/>
  <c r="G12" i="2"/>
  <c r="S11" i="2"/>
  <c r="R11" i="2"/>
  <c r="M11" i="2"/>
  <c r="L11" i="2"/>
  <c r="J11" i="2"/>
  <c r="I11" i="2"/>
  <c r="G11" i="2"/>
  <c r="F11" i="2"/>
  <c r="S10" i="2"/>
  <c r="R10" i="2"/>
  <c r="M10" i="2"/>
  <c r="L10" i="2"/>
  <c r="J10" i="2"/>
  <c r="I10" i="2"/>
  <c r="G10" i="2"/>
  <c r="F10" i="2"/>
  <c r="S9" i="2"/>
  <c r="R9" i="2"/>
  <c r="M9" i="2"/>
  <c r="L9" i="2"/>
  <c r="K9" i="2"/>
  <c r="J9" i="2"/>
  <c r="I9" i="2"/>
  <c r="G9" i="2"/>
  <c r="F9" i="2"/>
  <c r="S8" i="2"/>
  <c r="R8" i="2"/>
  <c r="M8" i="2"/>
  <c r="L8" i="2"/>
  <c r="J8" i="2"/>
  <c r="I8" i="2"/>
  <c r="G8" i="2"/>
  <c r="F8" i="2"/>
  <c r="S7" i="2"/>
  <c r="R7" i="2"/>
  <c r="M7" i="2"/>
  <c r="L7" i="2"/>
  <c r="J7" i="2"/>
  <c r="I7" i="2"/>
  <c r="G7" i="2"/>
  <c r="F7" i="2"/>
  <c r="S6" i="2"/>
  <c r="R6" i="2"/>
  <c r="M6" i="2"/>
  <c r="L6" i="2"/>
  <c r="J6" i="2"/>
  <c r="I6" i="2"/>
  <c r="G6" i="2"/>
  <c r="F6" i="2"/>
  <c r="S5" i="2"/>
  <c r="R5" i="2"/>
  <c r="M5" i="2"/>
  <c r="L5" i="2"/>
  <c r="J5" i="2"/>
  <c r="I5" i="2"/>
  <c r="G5" i="2"/>
  <c r="F5" i="2"/>
  <c r="AJ16" i="1"/>
  <c r="BB15" i="1"/>
  <c r="AQ15" i="1"/>
  <c r="AJ15" i="1"/>
  <c r="AI15" i="1"/>
  <c r="AH15" i="1"/>
  <c r="AE15" i="1"/>
  <c r="AB15" i="1"/>
  <c r="Y15" i="1"/>
  <c r="V15" i="1"/>
  <c r="N11" i="2" s="1"/>
  <c r="S15" i="1"/>
  <c r="K11" i="2" s="1"/>
  <c r="P15" i="1"/>
  <c r="M15" i="1"/>
  <c r="H11" i="2" s="1"/>
  <c r="J15" i="1"/>
  <c r="BB14" i="1"/>
  <c r="AQ14" i="1"/>
  <c r="AJ14" i="1"/>
  <c r="AI14" i="1"/>
  <c r="AH14" i="1"/>
  <c r="AE14" i="1"/>
  <c r="AB14" i="1"/>
  <c r="Y14" i="1"/>
  <c r="V14" i="1"/>
  <c r="N10" i="2" s="1"/>
  <c r="S14" i="1"/>
  <c r="K10" i="2" s="1"/>
  <c r="P14" i="1"/>
  <c r="M14" i="1"/>
  <c r="J14" i="1"/>
  <c r="BB13" i="1"/>
  <c r="AQ13" i="1"/>
  <c r="AJ13" i="1"/>
  <c r="AI13" i="1"/>
  <c r="AH13" i="1"/>
  <c r="AE13" i="1"/>
  <c r="AB13" i="1"/>
  <c r="Y13" i="1"/>
  <c r="V13" i="1"/>
  <c r="N9" i="2" s="1"/>
  <c r="S13" i="1"/>
  <c r="P13" i="1"/>
  <c r="M13" i="1"/>
  <c r="J13" i="1"/>
  <c r="BB12" i="1"/>
  <c r="AQ12" i="1"/>
  <c r="AJ12" i="1"/>
  <c r="AI12" i="1"/>
  <c r="AH12" i="1"/>
  <c r="AE12" i="1"/>
  <c r="AB12" i="1"/>
  <c r="Y12" i="1"/>
  <c r="V12" i="1"/>
  <c r="N8" i="2" s="1"/>
  <c r="S12" i="1"/>
  <c r="K8" i="2" s="1"/>
  <c r="P12" i="1"/>
  <c r="M12" i="1"/>
  <c r="H8" i="2" s="1"/>
  <c r="J12" i="1"/>
  <c r="BB11" i="1"/>
  <c r="AQ11" i="1"/>
  <c r="AJ11" i="1"/>
  <c r="AI11" i="1"/>
  <c r="AH11" i="1"/>
  <c r="AE11" i="1"/>
  <c r="AB11" i="1"/>
  <c r="Y11" i="1"/>
  <c r="V11" i="1"/>
  <c r="N7" i="2" s="1"/>
  <c r="S11" i="1"/>
  <c r="K7" i="2" s="1"/>
  <c r="P11" i="1"/>
  <c r="M11" i="1"/>
  <c r="H7" i="2" s="1"/>
  <c r="J11" i="1"/>
  <c r="BB10" i="1"/>
  <c r="AQ10" i="1"/>
  <c r="AJ10" i="1"/>
  <c r="AI10" i="1"/>
  <c r="AH10" i="1"/>
  <c r="AE10" i="1"/>
  <c r="AB10" i="1"/>
  <c r="Y10" i="1"/>
  <c r="V10" i="1"/>
  <c r="N6" i="2" s="1"/>
  <c r="S10" i="1"/>
  <c r="K6" i="2" s="1"/>
  <c r="P10" i="1"/>
  <c r="M10" i="1"/>
  <c r="H6" i="2" s="1"/>
  <c r="J10" i="1"/>
  <c r="BB9" i="1"/>
  <c r="AQ9" i="1"/>
  <c r="AJ9" i="1"/>
  <c r="AI9" i="1"/>
  <c r="AH9" i="1"/>
  <c r="AE9" i="1"/>
  <c r="AB9" i="1"/>
  <c r="Y9" i="1"/>
  <c r="V9" i="1"/>
  <c r="N5" i="2" s="1"/>
  <c r="S9" i="1"/>
  <c r="K5" i="2" s="1"/>
  <c r="P9" i="1"/>
  <c r="M9" i="1"/>
  <c r="H5" i="2" s="1"/>
  <c r="J9" i="1"/>
  <c r="P12" i="2" l="1"/>
  <c r="AM16" i="1"/>
  <c r="P11" i="2"/>
  <c r="AK15" i="1"/>
  <c r="Q11" i="2" s="1"/>
  <c r="AM15" i="1"/>
  <c r="O11" i="2"/>
  <c r="AL15" i="1"/>
  <c r="P10" i="2"/>
  <c r="AM14" i="1"/>
  <c r="AK14" i="1"/>
  <c r="Q10" i="2" s="1"/>
  <c r="O10" i="2"/>
  <c r="AL14" i="1"/>
  <c r="P9" i="2"/>
  <c r="AK13" i="1"/>
  <c r="AM13" i="1"/>
  <c r="AL13" i="1"/>
  <c r="O9" i="2"/>
  <c r="P8" i="2"/>
  <c r="AM12" i="1"/>
  <c r="AK12" i="1"/>
  <c r="Q8" i="2" s="1"/>
  <c r="O8" i="2"/>
  <c r="AL12" i="1"/>
  <c r="AM11" i="1"/>
  <c r="P7" i="2"/>
  <c r="AK11" i="1"/>
  <c r="Q7" i="2" s="1"/>
  <c r="O7" i="2"/>
  <c r="AL11" i="1"/>
  <c r="P6" i="2"/>
  <c r="AK10" i="1"/>
  <c r="Q6" i="2" s="1"/>
  <c r="AM10" i="1"/>
  <c r="O6" i="2"/>
  <c r="AL10" i="1"/>
  <c r="AM9" i="1"/>
  <c r="P5" i="2"/>
  <c r="AK9" i="1"/>
  <c r="Q5" i="2" s="1"/>
  <c r="AL9" i="1"/>
  <c r="O5" i="2"/>
  <c r="AS16" i="1" l="1"/>
  <c r="AU16" i="1"/>
  <c r="AW16" i="1" s="1"/>
  <c r="AY16" i="1" s="1"/>
  <c r="AN15" i="1"/>
  <c r="AS15" i="1"/>
  <c r="AU15" i="1"/>
  <c r="AW15" i="1" s="1"/>
  <c r="AY15" i="1" s="1"/>
  <c r="BC15" i="1"/>
  <c r="BD15" i="1" s="1"/>
  <c r="BE15" i="1" s="1"/>
  <c r="AR15" i="1"/>
  <c r="AT15" i="1"/>
  <c r="AV15" i="1" s="1"/>
  <c r="AX15" i="1" s="1"/>
  <c r="AZ15" i="1"/>
  <c r="BA15" i="1" s="1"/>
  <c r="AN14" i="1"/>
  <c r="AS14" i="1"/>
  <c r="AU14" i="1"/>
  <c r="AW14" i="1" s="1"/>
  <c r="AY14" i="1" s="1"/>
  <c r="BC14" i="1"/>
  <c r="BD14" i="1" s="1"/>
  <c r="BE14" i="1" s="1"/>
  <c r="AR14" i="1"/>
  <c r="AT14" i="1"/>
  <c r="AV14" i="1" s="1"/>
  <c r="AX14" i="1" s="1"/>
  <c r="AZ14" i="1"/>
  <c r="BA14" i="1" s="1"/>
  <c r="AN13" i="1"/>
  <c r="AS13" i="1"/>
  <c r="AU13" i="1"/>
  <c r="AW13" i="1" s="1"/>
  <c r="AY13" i="1" s="1"/>
  <c r="BC13" i="1"/>
  <c r="BD13" i="1" s="1"/>
  <c r="BE13" i="1" s="1"/>
  <c r="AR13" i="1"/>
  <c r="AT13" i="1"/>
  <c r="AV13" i="1" s="1"/>
  <c r="AX13" i="1" s="1"/>
  <c r="AZ13" i="1"/>
  <c r="BA13" i="1" s="1"/>
  <c r="AN12" i="1"/>
  <c r="AS12" i="1"/>
  <c r="AU12" i="1"/>
  <c r="AW12" i="1" s="1"/>
  <c r="AY12" i="1" s="1"/>
  <c r="BC12" i="1"/>
  <c r="BD12" i="1" s="1"/>
  <c r="BE12" i="1" s="1"/>
  <c r="AR12" i="1"/>
  <c r="AT12" i="1"/>
  <c r="AV12" i="1" s="1"/>
  <c r="AX12" i="1" s="1"/>
  <c r="AZ12" i="1"/>
  <c r="BA12" i="1" s="1"/>
  <c r="AN11" i="1"/>
  <c r="AS11" i="1"/>
  <c r="AU11" i="1"/>
  <c r="AW11" i="1" s="1"/>
  <c r="AY11" i="1" s="1"/>
  <c r="BC11" i="1"/>
  <c r="BD11" i="1" s="1"/>
  <c r="BE11" i="1" s="1"/>
  <c r="AR11" i="1"/>
  <c r="AT11" i="1"/>
  <c r="AV11" i="1" s="1"/>
  <c r="AX11" i="1" s="1"/>
  <c r="AZ11" i="1"/>
  <c r="BA11" i="1" s="1"/>
  <c r="AU10" i="1"/>
  <c r="AW10" i="1" s="1"/>
  <c r="AY10" i="1" s="1"/>
  <c r="AN10" i="1"/>
  <c r="AS10" i="1"/>
  <c r="BC10" i="1"/>
  <c r="BD10" i="1" s="1"/>
  <c r="BE10" i="1" s="1"/>
  <c r="AR10" i="1"/>
  <c r="AT10" i="1"/>
  <c r="AV10" i="1" s="1"/>
  <c r="AX10" i="1" s="1"/>
  <c r="AZ10" i="1"/>
  <c r="BA10" i="1" s="1"/>
  <c r="BC9" i="1"/>
  <c r="BD9" i="1" s="1"/>
  <c r="BE9" i="1" s="1"/>
  <c r="AU9" i="1"/>
  <c r="AW9" i="1" s="1"/>
  <c r="AY9" i="1" s="1"/>
  <c r="AS9" i="1"/>
  <c r="AN9" i="1"/>
  <c r="AR9" i="1"/>
  <c r="AT9" i="1"/>
  <c r="AV9" i="1" s="1"/>
  <c r="AX9" i="1" s="1"/>
  <c r="AZ9" i="1"/>
  <c r="BA9" i="1" s="1"/>
</calcChain>
</file>

<file path=xl/sharedStrings.xml><?xml version="1.0" encoding="utf-8"?>
<sst xmlns="http://schemas.openxmlformats.org/spreadsheetml/2006/main" count="184" uniqueCount="146">
  <si>
    <t>PF &amp; MF ON ONE ROW - INPUT DIFFERENCES AND LIABILITY RECONCILIATION</t>
  </si>
  <si>
    <t>Formula: DSR (%) = [((MBRE LIC + Lead Life Takaful)/Frequency) + Lead EMI/Frequency + (Staff EMI + Staff Life Takaful)/Frequency + Included Liabilities] x Factor / Total Income x 100.</t>
  </si>
  <si>
    <t>Liabilities: add Customer_LIB_AMOUNT ONLY when Consider_Obligation=Yes (all assigned rows active). Differences = MF minus PF. Finance Amount is context only, NOT an extra term in DSR.</t>
  </si>
  <si>
    <t>Own-stored adjustment = Stored DSR ratio x Income / Factor - Monthly Finance Burden - Included Liabilities. + means add liability; - means subtract. It is an inferred equivalent, NOT a verified debt or approved correction.</t>
  </si>
  <si>
    <t>Equality scenarios keep all MF inputs fixed except liabilities. One targets PF derived DSR; the other targets PF stored DSR. Matching own stored DSR does NOT make PF and MF equal. Negative target liabilities are not feasible debts.</t>
  </si>
  <si>
    <t>RED fill/text=nonzero values in difference columns ONLY (including rounding-only gaps). GREEN=equal input or reconciled result; AMBER=assumption/caveat. Adjustments remain inferred, not verified liabilities. Frequency=1, Factor=1, missing insurance/staff components=0; blank co-app income=0. Tiny adjustments on green matches are rounding only.</t>
  </si>
  <si>
    <t>CASE IDENTIFICATION AND DIFFERENCES</t>
  </si>
  <si>
    <t>TOTAL INCOME</t>
  </si>
  <si>
    <t>FINANCE AMOUNT (CONTEXT)</t>
  </si>
  <si>
    <t>MBRE LIC (ASSUMED)</t>
  </si>
  <si>
    <t>LEAD LIFE TAKAFUL</t>
  </si>
  <si>
    <t>LEAD EMI</t>
  </si>
  <si>
    <t>STAFF EMI (ASSUMED)</t>
  </si>
  <si>
    <t>STAFF LIFE TAKAFUL (ASSUMED)</t>
  </si>
  <si>
    <t>FREQUENCY</t>
  </si>
  <si>
    <t>FACTOR</t>
  </si>
  <si>
    <t>INCLUDED LIABILITIES (YES)</t>
  </si>
  <si>
    <t>DERIVED DSR</t>
  </si>
  <si>
    <t>STORED LEAD_DSR</t>
  </si>
  <si>
    <t>DERIVED VERSUS STORED</t>
  </si>
  <si>
    <t>ADJUSTMENT TO REPRODUCE OWN STORED DSR</t>
  </si>
  <si>
    <t>MAKE MF EQUAL PF: LIABILITY-ONLY SCENARIOS</t>
  </si>
  <si>
    <t>Case</t>
  </si>
  <si>
    <t>PF Application Ref</t>
  </si>
  <si>
    <t>PF Lead_No</t>
  </si>
  <si>
    <t>MF Application Ref</t>
  </si>
  <si>
    <t>MF Lead_No</t>
  </si>
  <si>
    <t>Match Basis</t>
  </si>
  <si>
    <t>Remarks</t>
  </si>
  <si>
    <t>PF Total Income</t>
  </si>
  <si>
    <t>MF Total Income</t>
  </si>
  <si>
    <t>Difference Total Income (MF-PF)</t>
  </si>
  <si>
    <t>PF Finance Amount (context)</t>
  </si>
  <si>
    <t>MF Finance Amount (context)</t>
  </si>
  <si>
    <t>Difference Finance Amount (context) (MF-PF)</t>
  </si>
  <si>
    <t>PF MBRE LIC (assumed)</t>
  </si>
  <si>
    <t>MF MBRE LIC (assumed)</t>
  </si>
  <si>
    <t>Difference MBRE LIC (assumed) (MF-PF)</t>
  </si>
  <si>
    <t>PF Lead Life Takaful</t>
  </si>
  <si>
    <t>MF Lead Life Takaful</t>
  </si>
  <si>
    <t>Difference Lead Life Takaful (MF-PF)</t>
  </si>
  <si>
    <t>PF Lead EMI</t>
  </si>
  <si>
    <t>MF Lead EMI</t>
  </si>
  <si>
    <t>Difference Lead EMI (MF-PF)</t>
  </si>
  <si>
    <t>PF Staff EMI (assumed)</t>
  </si>
  <si>
    <t>MF Staff EMI (assumed)</t>
  </si>
  <si>
    <t>Difference Staff EMI (assumed) (MF-PF)</t>
  </si>
  <si>
    <t>PF Staff Life Takaful (assumed)</t>
  </si>
  <si>
    <t>MF Staff Life Takaful (assumed)</t>
  </si>
  <si>
    <t>Difference Staff Life Takaful (assumed) (MF-PF)</t>
  </si>
  <si>
    <t>PF Frequency</t>
  </si>
  <si>
    <t>MF Frequency</t>
  </si>
  <si>
    <t>Difference Frequency (MF-PF)</t>
  </si>
  <si>
    <t>PF Factor</t>
  </si>
  <si>
    <t>MF Factor</t>
  </si>
  <si>
    <t>Difference Factor (MF-PF)</t>
  </si>
  <si>
    <t>PF Included Liabilities (Yes)</t>
  </si>
  <si>
    <t>MF Included Liabilities (Yes)</t>
  </si>
  <si>
    <t>Difference Included Liabilities (Yes) (MF-PF)</t>
  </si>
  <si>
    <t>PF Derived DSR</t>
  </si>
  <si>
    <t>MF Derived DSR</t>
  </si>
  <si>
    <t>Derived DSR Difference (pp)</t>
  </si>
  <si>
    <t>PF Stored LEAD_DSR</t>
  </si>
  <si>
    <t>MF Stored LEAD_DSR</t>
  </si>
  <si>
    <t>Stored DSR Difference (pp)</t>
  </si>
  <si>
    <t>PF Derived Minus Stored (pp)</t>
  </si>
  <si>
    <t>MF Derived Minus Stored (pp)</t>
  </si>
  <si>
    <t>PF Liability Adjustment (+add / -subtract)</t>
  </si>
  <si>
    <t>MF Liability Adjustment (+add / -subtract)</t>
  </si>
  <si>
    <t>PF Liabilities After Adjustment</t>
  </si>
  <si>
    <t>MF Liabilities After Adjustment</t>
  </si>
  <si>
    <t>PF DSR After Adjustment</t>
  </si>
  <si>
    <t>MF DSR After Adjustment</t>
  </si>
  <si>
    <t>MF Liability Change to PF Derived DSR</t>
  </si>
  <si>
    <t>MF DSR at PF Derived Target</t>
  </si>
  <si>
    <t>PF Stored Target DSR</t>
  </si>
  <si>
    <t>MF Liability Change to PF Stored DSR</t>
  </si>
  <si>
    <t>MF Total Liabilities at PF Stored Target</t>
  </si>
  <si>
    <t>MF DSR at PF Stored Target</t>
  </si>
  <si>
    <t>PF182386</t>
  </si>
  <si>
    <t>LD-00143605</t>
  </si>
  <si>
    <t>MF186574</t>
  </si>
  <si>
    <t>LD-00147874</t>
  </si>
  <si>
    <t>PROVISIONAL</t>
  </si>
  <si>
    <t>MF-PF: income +0.00; finance amount +50,000.00 (context only); EMI -221.62; life takaful -119.95; included liabilities +41.00. All other DSR components unchanged. Included liabilities 4,541 -&gt; 4,582. PF has included other-installment 4,541; MF has included home-finance 4,582. Provisional pairing: MF predecessor PF182306 differs from supplied PF182386. To reproduce own stored DSR, liability-equivalent adjustment: PF -0.98; MF +14,045.78 (rounding-only when original DSR matches). To make MF equal PF stored 50.92%, change MF liabilities by +299.59, to 4,881.59, keeping MF other inputs fixed. This is a balancing scenario, not evidence that these debts exist or should be removed.</t>
  </si>
  <si>
    <t>PF183876</t>
  </si>
  <si>
    <t>LD-00145139</t>
  </si>
  <si>
    <t>MF187674</t>
  </si>
  <si>
    <t>LD-00149064</t>
  </si>
  <si>
    <t>Exact PRE_REF_NO</t>
  </si>
  <si>
    <t>MF-PF: income +0.00; finance amount +471,000.00 (context only); EMI +1,765.03; life takaful -155.33; included liabilities +35,252.28. All other DSR components unchanged. Included liabilities 1,144.60 -&gt; 36,396.88. MF adds home-finance-valid 8,939.85, personal loan 6,000 and home loans 20,312.43. Both stored DSRs need reconciliation. To reproduce own stored DSR, liability-equivalent adjustment: PF +8,333.67; MF -8,039.61 (rounding-only when original DSR matches). To make MF equal PF stored 56.90%, change MF liabilities by -28,528.31, to 7,868.57, keeping MF other inputs fixed. This is a balancing scenario, not evidence that these debts exist or should be removed.</t>
  </si>
  <si>
    <t>PF184910</t>
  </si>
  <si>
    <t>LD-00146208</t>
  </si>
  <si>
    <t>MF186489</t>
  </si>
  <si>
    <t>LD-00147858</t>
  </si>
  <si>
    <t>MF-PF: income +0.00; finance amount -10,000.00 (context only); EMI -697.55; life takaful -7.40; included liabilities +13,259.00. All other DSR components unchanged. PF excludes both 4,921 and 17,348. MF includes 4,921 and 8,338. Contract/type/amount mapping changes need validation. To reproduce own stored DSR, liability-equivalent adjustment: PF -0.71; MF +3,069.60 (rounding-only when original DSR matches). To make MF equal PF stored 49.87%, change MF liabilities by -12,554.76, to 704.24, keeping MF other inputs fixed. This is a balancing scenario, not evidence that these debts exist or should be removed. PF exact-stored implied liabilities are slightly negative due to stored rounding; not a valid debt.</t>
  </si>
  <si>
    <t>PF188166</t>
  </si>
  <si>
    <t>LD-00149573</t>
  </si>
  <si>
    <t>MF189169</t>
  </si>
  <si>
    <t>LD-00150623</t>
  </si>
  <si>
    <t>MF-PF: income +0.00; finance amount -10,000.00 (context only); EMI -79.92; life takaful -1.22; included liabilities +25,408.41. All other DSR components unchanged. Home finance 9,216 changes No -&gt; Yes; home loan 17,242.41 appears; previously included card 1,050 is absent. Blank co-app income assumed 0; card fields need validation. To reproduce own stored DSR, liability-equivalent adjustment: PF +1,997.38; MF -14,241.31 (rounding-only when original DSR matches). To make MF equal PF stored 46.71%, change MF liabilities by -23,329.89, to 21,146.52, keeping MF other inputs fixed. This is a balancing scenario, not evidence that these debts exist or should be removed.</t>
  </si>
  <si>
    <t>PF191083</t>
  </si>
  <si>
    <t>LD-00152624</t>
  </si>
  <si>
    <t>MF192489</t>
  </si>
  <si>
    <t>LD-00154082</t>
  </si>
  <si>
    <t>MF-PF: income +0.00; finance amount +0.00 (context only); EMI -883.40; life takaful -9.58; included liabilities +0.00. All other DSR components unchanged. NO LIABILITY ROWS supplied at either stage; zero is a comparison scenario, not confirmed zero debt. To reproduce own stored DSR, liability-equivalent adjustment: PF -0.44; MF +17,242.43 (rounding-only when original DSR matches). To make MF equal PF stored 48.27%, change MF liabilities by +892.54, to 892.54, keeping MF other inputs fixed. This is a balancing scenario, not evidence that these debts exist or should be removed. PF exact-stored implied liabilities are slightly negative due to stored rounding; not a valid debt.</t>
  </si>
  <si>
    <t>PF193166</t>
  </si>
  <si>
    <t>LD-00154791</t>
  </si>
  <si>
    <t>MF195006</t>
  </si>
  <si>
    <t>LD-00156694</t>
  </si>
  <si>
    <t>MF-PF: income +0.00; finance amount +0.00 (context only); EMI +30.91; life takaful -2.52; included liabilities +14,937.00. All other DSR components unchanged. Home finance 14,937 changes No -&gt; Yes; personal finance 6,654 and auto finance 997 stay included. Both original derived DSRs match their stored values after rounding. This inclusion drives the increase. To reproduce own stored DSR, liability-equivalent adjustment: PF -0.98; MF -1.58 (rounding-only when original DSR matches). To make MF equal PF stored 41.22%, change MF liabilities by -14,966.36, to 7,621.64, keeping MF other inputs fixed. This is a balancing scenario, not evidence that these debts exist or should be removed.</t>
  </si>
  <si>
    <t>PF197879</t>
  </si>
  <si>
    <t>LD-00159632</t>
  </si>
  <si>
    <t>MF302327</t>
  </si>
  <si>
    <t>LD-00164229</t>
  </si>
  <si>
    <t>MF-PF: income +0.00; finance amount -235,000.00 (context only); EMI -1,603.57; life takaful -23.85; included liabilities +28,008.00. All other DSR components unchanged. Home finance 25,508 and cards 3,000, 750, 1,250 change No -&gt; Yes. Previously included card 2,500 is absent. Net included-liability increase 28,008; contract/card mapping shifts need validation. To reproduce own stored DSR, liability-equivalent adjustment: PF +1.95; MF +4,001.38 (rounding-only when original DSR matches). To make MF equal PF stored 49.39%, change MF liabilities by -26,378.63, to 4,129.37, keeping MF other inputs fixed. This is a balancing scenario, not evidence that these debts exist or should be removed.</t>
  </si>
  <si>
    <t>MF183562</t>
  </si>
  <si>
    <t>LD-00144780</t>
  </si>
  <si>
    <t>No PF supplied</t>
  </si>
  <si>
    <t>No PF predecessor supplied; no PF/MF equality comparison possible. MF stored 82.58%, derived 82.752669%; liability-equivalent adjustment -29.44 reproduces MF stored DSR only. Not a verified liability correction.</t>
  </si>
  <si>
    <t>PF vs MF - KEY FIGURES AND DIFFERENCES</t>
  </si>
  <si>
    <t>PF and MF key figures use normal text. Only nonzero PF-to-MF differences are red. Difference = MF minus PF.</t>
  </si>
  <si>
    <t>Case 8 contains MF details only; PF and difference fields are blank. Other blank difference cells mean no difference. Figures link to the first tab.</t>
  </si>
  <si>
    <t>PF App</t>
  </si>
  <si>
    <t>MF App</t>
  </si>
  <si>
    <t>PF Takaful</t>
  </si>
  <si>
    <t>MF Takaful</t>
  </si>
  <si>
    <t>Life Takaful Diff</t>
  </si>
  <si>
    <t>EMI Diff</t>
  </si>
  <si>
    <t>PF Liablity</t>
  </si>
  <si>
    <t>MF Liab</t>
  </si>
  <si>
    <t>Liab Diff</t>
  </si>
  <si>
    <t>PF Fin Amnt</t>
  </si>
  <si>
    <t>MF Fin Amnt</t>
  </si>
  <si>
    <t>Fin Amnt diff</t>
  </si>
  <si>
    <t>PF DSR</t>
  </si>
  <si>
    <t>MF DSR</t>
  </si>
  <si>
    <t>DSR Diff</t>
  </si>
  <si>
    <t>MF Lead</t>
  </si>
  <si>
    <t>PF Lead</t>
  </si>
  <si>
    <t>PF IjaraStDt</t>
  </si>
  <si>
    <t>MF IjaraStDt</t>
  </si>
  <si>
    <t>PF InsStDt</t>
  </si>
  <si>
    <t>MF InsStDt</t>
  </si>
  <si>
    <t>PF DiffInDays</t>
  </si>
  <si>
    <t>MF DiffInDays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</si>
</sst>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0.0000&quot; pp&quot;;[Red]\(0.0000\)&quot; pp&quot;"/>
    <numFmt numFmtId="166" formatCode="dd\-mmm\-yyyy"/>
    <numFmt numFmtId="167" formatCode="0&quot; days&quot;;\(0\)&quot; days&quot;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color rgb="FF202020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FFFFFF"/>
      <name val="Calibri"/>
      <family val="2"/>
    </font>
    <font>
      <sz val="11"/>
      <color rgb="FF20202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64" fontId="2" fillId="6" borderId="0" xfId="0" applyNumberFormat="1" applyFont="1" applyFill="1" applyAlignment="1">
      <alignment vertical="top" wrapText="1"/>
    </xf>
    <xf numFmtId="164" fontId="2" fillId="5" borderId="0" xfId="0" applyNumberFormat="1" applyFont="1" applyFill="1" applyAlignment="1">
      <alignment vertical="top" wrapText="1"/>
    </xf>
    <xf numFmtId="164" fontId="4" fillId="7" borderId="0" xfId="0" applyNumberFormat="1" applyFont="1" applyFill="1" applyAlignment="1">
      <alignment vertical="top" wrapText="1"/>
    </xf>
    <xf numFmtId="164" fontId="2" fillId="4" borderId="0" xfId="0" applyNumberFormat="1" applyFont="1" applyFill="1" applyAlignment="1">
      <alignment vertical="top" wrapText="1"/>
    </xf>
    <xf numFmtId="10" fontId="2" fillId="5" borderId="0" xfId="0" applyNumberFormat="1" applyFont="1" applyFill="1" applyAlignment="1">
      <alignment vertical="top" wrapText="1"/>
    </xf>
    <xf numFmtId="10" fontId="2" fillId="8" borderId="0" xfId="0" applyNumberFormat="1" applyFont="1" applyFill="1" applyAlignment="1">
      <alignment vertical="top" wrapText="1"/>
    </xf>
    <xf numFmtId="165" fontId="4" fillId="7" borderId="0" xfId="0" applyNumberFormat="1" applyFont="1" applyFill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8" borderId="1" xfId="0" applyNumberFormat="1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vertical="center" wrapText="1"/>
    </xf>
    <xf numFmtId="10" fontId="2" fillId="8" borderId="1" xfId="0" applyNumberFormat="1" applyFont="1" applyFill="1" applyBorder="1" applyAlignment="1">
      <alignment vertical="center" wrapText="1"/>
    </xf>
    <xf numFmtId="165" fontId="4" fillId="7" borderId="1" xfId="0" applyNumberFormat="1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2" fillId="8" borderId="6" xfId="0" applyNumberFormat="1" applyFont="1" applyFill="1" applyBorder="1" applyAlignment="1">
      <alignment vertical="center" wrapText="1"/>
    </xf>
    <xf numFmtId="10" fontId="2" fillId="8" borderId="6" xfId="0" applyNumberFormat="1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166" fontId="2" fillId="8" borderId="1" xfId="0" applyNumberFormat="1" applyFont="1" applyFill="1" applyBorder="1" applyAlignment="1">
      <alignment vertical="center" wrapText="1"/>
    </xf>
    <xf numFmtId="167" fontId="4" fillId="7" borderId="1" xfId="0" applyNumberFormat="1" applyFont="1" applyFill="1" applyBorder="1" applyAlignment="1">
      <alignment vertical="center" wrapText="1"/>
    </xf>
    <xf numFmtId="167" fontId="2" fillId="8" borderId="1" xfId="0" applyNumberFormat="1" applyFont="1" applyFill="1" applyBorder="1" applyAlignment="1">
      <alignment vertical="center" wrapText="1"/>
    </xf>
    <xf numFmtId="166" fontId="2" fillId="8" borderId="3" xfId="0" applyNumberFormat="1" applyFont="1" applyFill="1" applyBorder="1" applyAlignment="1">
      <alignment vertical="center" wrapText="1"/>
    </xf>
    <xf numFmtId="167" fontId="4" fillId="7" borderId="3" xfId="0" applyNumberFormat="1" applyFont="1" applyFill="1" applyBorder="1" applyAlignment="1">
      <alignment vertical="center" wrapText="1"/>
    </xf>
    <xf numFmtId="166" fontId="2" fillId="8" borderId="6" xfId="0" applyNumberFormat="1" applyFont="1" applyFill="1" applyBorder="1" applyAlignment="1">
      <alignment vertical="center" wrapText="1"/>
    </xf>
    <xf numFmtId="167" fontId="4" fillId="7" borderId="6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6">
    <dxf>
      <font>
        <b/>
        <color rgb="FFC00000"/>
      </font>
      <numFmt numFmtId="167" formatCode="0&quot; days&quot;;\(0\)&quot; days&quot;"/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/>
        <horizontal/>
      </border>
    </dxf>
    <dxf>
      <font>
        <color rgb="FF202020"/>
      </font>
      <numFmt numFmtId="166" formatCode="dd\-mmm\-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/>
        <horizontal/>
      </border>
    </dxf>
    <dxf>
      <font>
        <color rgb="FF202020"/>
      </font>
      <numFmt numFmtId="166" formatCode="dd\-mmm\-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/>
        <horizontal/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/>
        <bottom/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/>
        <bottom/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/>
        <bottom/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/>
        <bottom/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/>
        <bottom/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/>
        <bottom/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/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border>
        <bottom style="thin">
          <color theme="4" tint="-0.249977111117893"/>
        </bottom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/>
        <bottom/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/>
        <bottom/>
        <vertical style="thin">
          <color theme="4" tint="-0.249977111117893"/>
        </vertical>
        <horizontal style="thin">
          <color theme="4" tint="-0.249977111117893"/>
        </horizontal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iredDSRReconciliation" displayName="PairedDSRReconciliation" ref="A8:BE16">
  <autoFilter ref="A8:BE16" xr:uid="{00000000-0009-0000-0100-000001000000}"/>
  <tableColumns count="57">
    <tableColumn id="1" xr3:uid="{00000000-0010-0000-0000-000001000000}" name="Case"/>
    <tableColumn id="2" xr3:uid="{00000000-0010-0000-0000-000002000000}" name="PF Application Ref"/>
    <tableColumn id="3" xr3:uid="{00000000-0010-0000-0000-000003000000}" name="PF Lead_No"/>
    <tableColumn id="4" xr3:uid="{00000000-0010-0000-0000-000004000000}" name="MF Application Ref"/>
    <tableColumn id="5" xr3:uid="{00000000-0010-0000-0000-000005000000}" name="MF Lead_No"/>
    <tableColumn id="6" xr3:uid="{00000000-0010-0000-0000-000006000000}" name="Match Basis"/>
    <tableColumn id="7" xr3:uid="{00000000-0010-0000-0000-000007000000}" name="Remarks"/>
    <tableColumn id="8" xr3:uid="{00000000-0010-0000-0000-000008000000}" name="PF Total Income"/>
    <tableColumn id="9" xr3:uid="{00000000-0010-0000-0000-000009000000}" name="MF Total Income"/>
    <tableColumn id="10" xr3:uid="{00000000-0010-0000-0000-00000A000000}" name="Difference Total Income (MF-PF)"/>
    <tableColumn id="11" xr3:uid="{00000000-0010-0000-0000-00000B000000}" name="PF Finance Amount (context)"/>
    <tableColumn id="12" xr3:uid="{00000000-0010-0000-0000-00000C000000}" name="MF Finance Amount (context)"/>
    <tableColumn id="13" xr3:uid="{00000000-0010-0000-0000-00000D000000}" name="Difference Finance Amount (context) (MF-PF)"/>
    <tableColumn id="14" xr3:uid="{00000000-0010-0000-0000-00000E000000}" name="PF MBRE LIC (assumed)"/>
    <tableColumn id="15" xr3:uid="{00000000-0010-0000-0000-00000F000000}" name="MF MBRE LIC (assumed)"/>
    <tableColumn id="16" xr3:uid="{00000000-0010-0000-0000-000010000000}" name="Difference MBRE LIC (assumed) (MF-PF)"/>
    <tableColumn id="17" xr3:uid="{00000000-0010-0000-0000-000011000000}" name="PF Lead Life Takaful"/>
    <tableColumn id="18" xr3:uid="{00000000-0010-0000-0000-000012000000}" name="MF Lead Life Takaful"/>
    <tableColumn id="19" xr3:uid="{00000000-0010-0000-0000-000013000000}" name="Difference Lead Life Takaful (MF-PF)"/>
    <tableColumn id="20" xr3:uid="{00000000-0010-0000-0000-000014000000}" name="PF Lead EMI"/>
    <tableColumn id="21" xr3:uid="{00000000-0010-0000-0000-000015000000}" name="MF Lead EMI"/>
    <tableColumn id="22" xr3:uid="{00000000-0010-0000-0000-000016000000}" name="Difference Lead EMI (MF-PF)"/>
    <tableColumn id="23" xr3:uid="{00000000-0010-0000-0000-000017000000}" name="PF Staff EMI (assumed)"/>
    <tableColumn id="24" xr3:uid="{00000000-0010-0000-0000-000018000000}" name="MF Staff EMI (assumed)"/>
    <tableColumn id="25" xr3:uid="{00000000-0010-0000-0000-000019000000}" name="Difference Staff EMI (assumed) (MF-PF)"/>
    <tableColumn id="26" xr3:uid="{00000000-0010-0000-0000-00001A000000}" name="PF Staff Life Takaful (assumed)"/>
    <tableColumn id="27" xr3:uid="{00000000-0010-0000-0000-00001B000000}" name="MF Staff Life Takaful (assumed)"/>
    <tableColumn id="28" xr3:uid="{00000000-0010-0000-0000-00001C000000}" name="Difference Staff Life Takaful (assumed) (MF-PF)"/>
    <tableColumn id="29" xr3:uid="{00000000-0010-0000-0000-00001D000000}" name="PF Frequency"/>
    <tableColumn id="30" xr3:uid="{00000000-0010-0000-0000-00001E000000}" name="MF Frequency"/>
    <tableColumn id="31" xr3:uid="{00000000-0010-0000-0000-00001F000000}" name="Difference Frequency (MF-PF)"/>
    <tableColumn id="32" xr3:uid="{00000000-0010-0000-0000-000020000000}" name="PF Factor"/>
    <tableColumn id="33" xr3:uid="{00000000-0010-0000-0000-000021000000}" name="MF Factor"/>
    <tableColumn id="34" xr3:uid="{00000000-0010-0000-0000-000022000000}" name="Difference Factor (MF-PF)"/>
    <tableColumn id="35" xr3:uid="{00000000-0010-0000-0000-000023000000}" name="PF Included Liabilities (Yes)"/>
    <tableColumn id="36" xr3:uid="{00000000-0010-0000-0000-000024000000}" name="MF Included Liabilities (Yes)"/>
    <tableColumn id="37" xr3:uid="{00000000-0010-0000-0000-000025000000}" name="Difference Included Liabilities (Yes) (MF-PF)"/>
    <tableColumn id="38" xr3:uid="{00000000-0010-0000-0000-000026000000}" name="PF Derived DSR"/>
    <tableColumn id="39" xr3:uid="{00000000-0010-0000-0000-000027000000}" name="MF Derived DSR"/>
    <tableColumn id="40" xr3:uid="{00000000-0010-0000-0000-000028000000}" name="Derived DSR Difference (pp)"/>
    <tableColumn id="41" xr3:uid="{00000000-0010-0000-0000-000029000000}" name="PF Stored LEAD_DSR"/>
    <tableColumn id="42" xr3:uid="{00000000-0010-0000-0000-00002A000000}" name="MF Stored LEAD_DSR"/>
    <tableColumn id="43" xr3:uid="{00000000-0010-0000-0000-00002B000000}" name="Stored DSR Difference (pp)"/>
    <tableColumn id="44" xr3:uid="{00000000-0010-0000-0000-00002C000000}" name="PF Derived Minus Stored (pp)"/>
    <tableColumn id="45" xr3:uid="{00000000-0010-0000-0000-00002D000000}" name="MF Derived Minus Stored (pp)"/>
    <tableColumn id="46" xr3:uid="{00000000-0010-0000-0000-00002E000000}" name="PF Liability Adjustment (+add / -subtract)"/>
    <tableColumn id="47" xr3:uid="{00000000-0010-0000-0000-00002F000000}" name="MF Liability Adjustment (+add / -subtract)"/>
    <tableColumn id="48" xr3:uid="{00000000-0010-0000-0000-000030000000}" name="PF Liabilities After Adjustment"/>
    <tableColumn id="49" xr3:uid="{00000000-0010-0000-0000-000031000000}" name="MF Liabilities After Adjustment"/>
    <tableColumn id="50" xr3:uid="{00000000-0010-0000-0000-000032000000}" name="PF DSR After Adjustment"/>
    <tableColumn id="51" xr3:uid="{00000000-0010-0000-0000-000033000000}" name="MF DSR After Adjustment"/>
    <tableColumn id="52" xr3:uid="{00000000-0010-0000-0000-000034000000}" name="MF Liability Change to PF Derived DSR"/>
    <tableColumn id="53" xr3:uid="{00000000-0010-0000-0000-000035000000}" name="MF DSR at PF Derived Target"/>
    <tableColumn id="54" xr3:uid="{00000000-0010-0000-0000-000036000000}" name="PF Stored Target DSR"/>
    <tableColumn id="55" xr3:uid="{00000000-0010-0000-0000-000037000000}" name="MF Liability Change to PF Stored DSR"/>
    <tableColumn id="56" xr3:uid="{00000000-0010-0000-0000-000038000000}" name="MF Total Liabilities at PF Stored Target"/>
    <tableColumn id="57" xr3:uid="{00000000-0010-0000-0000-000039000000}" name="MF DSR at PF Stored Targ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FMFDifferencesOnly" displayName="PFMFDifferencesOnly" ref="A4:Z12" headerRowDxfId="34" totalsRowDxfId="33" headerRowBorderDxfId="31" tableBorderDxfId="32">
  <autoFilter ref="A4:Z12" xr:uid="{00000000-0009-0000-0100-000002000000}"/>
  <tableColumns count="26">
    <tableColumn id="1" xr3:uid="{00000000-0010-0000-0100-000001000000}" name="Case" dataDxfId="30"/>
    <tableColumn id="2" xr3:uid="{00000000-0010-0000-0100-000002000000}" name="PF App" dataDxfId="29"/>
    <tableColumn id="3" xr3:uid="{00000000-0010-0000-0100-000003000000}" name="PF Lead" dataDxfId="28"/>
    <tableColumn id="4" xr3:uid="{00000000-0010-0000-0100-000004000000}" name="MF App" dataDxfId="27"/>
    <tableColumn id="5" xr3:uid="{00000000-0010-0000-0100-000005000000}" name="MF Lead" dataDxfId="26"/>
    <tableColumn id="6" xr3:uid="{00000000-0010-0000-0100-000006000000}" name="PF Fin Amnt" dataDxfId="25"/>
    <tableColumn id="7" xr3:uid="{00000000-0010-0000-0100-000007000000}" name="MF Fin Amnt" dataDxfId="24"/>
    <tableColumn id="8" xr3:uid="{00000000-0010-0000-0100-000008000000}" name="Fin Amnt diff" dataDxfId="23"/>
    <tableColumn id="9" xr3:uid="{00000000-0010-0000-0100-000009000000}" name="PF Takaful" dataDxfId="22"/>
    <tableColumn id="10" xr3:uid="{00000000-0010-0000-0100-00000A000000}" name="MF Takaful" dataDxfId="21"/>
    <tableColumn id="11" xr3:uid="{00000000-0010-0000-0100-00000B000000}" name="Life Takaful Diff" dataDxfId="20"/>
    <tableColumn id="12" xr3:uid="{00000000-0010-0000-0100-00000C000000}" name="PF Lead EMI" dataDxfId="19"/>
    <tableColumn id="13" xr3:uid="{00000000-0010-0000-0100-00000D000000}" name="MF Lead EMI" dataDxfId="18"/>
    <tableColumn id="14" xr3:uid="{00000000-0010-0000-0100-00000E000000}" name="EMI Diff" dataDxfId="17"/>
    <tableColumn id="15" xr3:uid="{00000000-0010-0000-0100-00000F000000}" name="PF Liablity" dataDxfId="16"/>
    <tableColumn id="16" xr3:uid="{00000000-0010-0000-0100-000010000000}" name="MF Liab" dataDxfId="15"/>
    <tableColumn id="17" xr3:uid="{00000000-0010-0000-0100-000011000000}" name="Liab Diff" dataDxfId="14"/>
    <tableColumn id="18" xr3:uid="{00000000-0010-0000-0100-000012000000}" name="PF DSR" dataDxfId="13"/>
    <tableColumn id="19" xr3:uid="{00000000-0010-0000-0100-000013000000}" name="MF DSR" dataDxfId="12"/>
    <tableColumn id="20" xr3:uid="{00000000-0010-0000-0100-000014000000}" name="DSR Diff" dataDxfId="35"/>
    <tableColumn id="21" xr3:uid="{6C0E3A0D-B28F-49A2-A04C-02CBB7DB8523}" name="PF IjaraStDt" dataDxfId="11" totalsRowDxfId="10"/>
    <tableColumn id="22" xr3:uid="{7EE21DA0-A5C6-4A9A-9A72-B74A02DA733F}" name="PF InsStDt" dataDxfId="2" totalsRowDxfId="9"/>
    <tableColumn id="27" xr3:uid="{66B038CF-C92E-4BF8-838B-8BA959B50A2B}" name="PF DiffInDays" dataDxfId="3" totalsRowDxfId="4"/>
    <tableColumn id="23" xr3:uid="{E70F6200-517F-47BC-9FBE-EE8A0F8A8F1A}" name="MF IjaraStDt" dataDxfId="1" totalsRowDxfId="8"/>
    <tableColumn id="24" xr3:uid="{038223E8-2CE8-45BC-8B35-EA71E5D7DD71}" name="MF InsStDt" dataDxfId="7" totalsRowDxfId="6"/>
    <tableColumn id="25" xr3:uid="{AD3A2ADB-31CB-44F9-95D3-C290BEE813BC}" name="MF DiffInDays" dataDxfId="0" totalsRowDxfId="5">
      <calculatedColumnFormula>Y5-X5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16"/>
  <sheetViews>
    <sheetView showGridLines="0" zoomScale="70" workbookViewId="0">
      <pane xSplit="5" ySplit="8" topLeftCell="F9" activePane="bottomRight" state="frozen"/>
      <selection pane="topRight"/>
      <selection pane="bottomLeft"/>
      <selection pane="bottomRight" sqref="A1:BE1"/>
    </sheetView>
  </sheetViews>
  <sheetFormatPr defaultRowHeight="15" x14ac:dyDescent="0.25"/>
  <cols>
    <col min="1" max="1" width="11" customWidth="1"/>
    <col min="2" max="6" width="17" customWidth="1"/>
    <col min="7" max="7" width="105" customWidth="1"/>
    <col min="8" max="45" width="20" customWidth="1"/>
    <col min="46" max="47" width="26" customWidth="1"/>
    <col min="48" max="57" width="20" customWidth="1"/>
  </cols>
  <sheetData>
    <row r="1" spans="1:57" ht="32.1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</row>
    <row r="2" spans="1:57" ht="32.1" customHeight="1" x14ac:dyDescent="0.2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</row>
    <row r="3" spans="1:57" ht="32.1" customHeight="1" x14ac:dyDescent="0.25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</row>
    <row r="4" spans="1:57" ht="32.1" customHeight="1" x14ac:dyDescent="0.25">
      <c r="A4" s="30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</row>
    <row r="5" spans="1:57" ht="32.1" customHeight="1" x14ac:dyDescent="0.25">
      <c r="A5" s="30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</row>
    <row r="6" spans="1:57" ht="32.1" customHeight="1" x14ac:dyDescent="0.25">
      <c r="A6" s="30" t="s">
        <v>5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</row>
    <row r="7" spans="1:57" ht="36" customHeight="1" x14ac:dyDescent="0.25">
      <c r="A7" s="29" t="s">
        <v>6</v>
      </c>
      <c r="B7" s="29"/>
      <c r="C7" s="29"/>
      <c r="D7" s="29"/>
      <c r="E7" s="29"/>
      <c r="F7" s="29"/>
      <c r="G7" s="29"/>
      <c r="H7" s="29" t="s">
        <v>7</v>
      </c>
      <c r="I7" s="29"/>
      <c r="J7" s="29"/>
      <c r="K7" s="29" t="s">
        <v>8</v>
      </c>
      <c r="L7" s="29"/>
      <c r="M7" s="29"/>
      <c r="N7" s="29" t="s">
        <v>9</v>
      </c>
      <c r="O7" s="29"/>
      <c r="P7" s="29"/>
      <c r="Q7" s="29" t="s">
        <v>10</v>
      </c>
      <c r="R7" s="29"/>
      <c r="S7" s="29"/>
      <c r="T7" s="29" t="s">
        <v>11</v>
      </c>
      <c r="U7" s="29"/>
      <c r="V7" s="29"/>
      <c r="W7" s="29" t="s">
        <v>12</v>
      </c>
      <c r="X7" s="29"/>
      <c r="Y7" s="29"/>
      <c r="Z7" s="29" t="s">
        <v>13</v>
      </c>
      <c r="AA7" s="29"/>
      <c r="AB7" s="29"/>
      <c r="AC7" s="29" t="s">
        <v>14</v>
      </c>
      <c r="AD7" s="29"/>
      <c r="AE7" s="29"/>
      <c r="AF7" s="29" t="s">
        <v>15</v>
      </c>
      <c r="AG7" s="29"/>
      <c r="AH7" s="29"/>
      <c r="AI7" s="29" t="s">
        <v>16</v>
      </c>
      <c r="AJ7" s="29"/>
      <c r="AK7" s="29"/>
      <c r="AL7" s="29" t="s">
        <v>17</v>
      </c>
      <c r="AM7" s="29"/>
      <c r="AN7" s="29"/>
      <c r="AO7" s="29" t="s">
        <v>18</v>
      </c>
      <c r="AP7" s="29"/>
      <c r="AQ7" s="29"/>
      <c r="AR7" s="29" t="s">
        <v>19</v>
      </c>
      <c r="AS7" s="29"/>
      <c r="AT7" s="29" t="s">
        <v>20</v>
      </c>
      <c r="AU7" s="29"/>
      <c r="AV7" s="29"/>
      <c r="AW7" s="29"/>
      <c r="AX7" s="29"/>
      <c r="AY7" s="29"/>
      <c r="AZ7" s="29" t="s">
        <v>21</v>
      </c>
      <c r="BA7" s="29"/>
      <c r="BB7" s="29"/>
      <c r="BC7" s="29"/>
      <c r="BD7" s="29"/>
      <c r="BE7" s="29"/>
    </row>
    <row r="8" spans="1:57" ht="75" customHeight="1" x14ac:dyDescent="0.25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36</v>
      </c>
      <c r="P8" s="1" t="s">
        <v>37</v>
      </c>
      <c r="Q8" s="1" t="s">
        <v>38</v>
      </c>
      <c r="R8" s="1" t="s">
        <v>39</v>
      </c>
      <c r="S8" s="1" t="s">
        <v>40</v>
      </c>
      <c r="T8" s="1" t="s">
        <v>41</v>
      </c>
      <c r="U8" s="1" t="s">
        <v>42</v>
      </c>
      <c r="V8" s="1" t="s">
        <v>43</v>
      </c>
      <c r="W8" s="1" t="s">
        <v>44</v>
      </c>
      <c r="X8" s="1" t="s">
        <v>45</v>
      </c>
      <c r="Y8" s="1" t="s">
        <v>46</v>
      </c>
      <c r="Z8" s="1" t="s">
        <v>47</v>
      </c>
      <c r="AA8" s="1" t="s">
        <v>48</v>
      </c>
      <c r="AB8" s="1" t="s">
        <v>49</v>
      </c>
      <c r="AC8" s="1" t="s">
        <v>50</v>
      </c>
      <c r="AD8" s="1" t="s">
        <v>51</v>
      </c>
      <c r="AE8" s="1" t="s">
        <v>52</v>
      </c>
      <c r="AF8" s="1" t="s">
        <v>53</v>
      </c>
      <c r="AG8" s="1" t="s">
        <v>54</v>
      </c>
      <c r="AH8" s="1" t="s">
        <v>55</v>
      </c>
      <c r="AI8" s="1" t="s">
        <v>56</v>
      </c>
      <c r="AJ8" s="1" t="s">
        <v>57</v>
      </c>
      <c r="AK8" s="1" t="s">
        <v>58</v>
      </c>
      <c r="AL8" s="1" t="s">
        <v>59</v>
      </c>
      <c r="AM8" s="1" t="s">
        <v>60</v>
      </c>
      <c r="AN8" s="1" t="s">
        <v>61</v>
      </c>
      <c r="AO8" s="1" t="s">
        <v>62</v>
      </c>
      <c r="AP8" s="1" t="s">
        <v>63</v>
      </c>
      <c r="AQ8" s="1" t="s">
        <v>64</v>
      </c>
      <c r="AR8" s="1" t="s">
        <v>65</v>
      </c>
      <c r="AS8" s="1" t="s">
        <v>66</v>
      </c>
      <c r="AT8" s="1" t="s">
        <v>67</v>
      </c>
      <c r="AU8" s="1" t="s">
        <v>68</v>
      </c>
      <c r="AV8" s="1" t="s">
        <v>69</v>
      </c>
      <c r="AW8" s="1" t="s">
        <v>70</v>
      </c>
      <c r="AX8" s="1" t="s">
        <v>71</v>
      </c>
      <c r="AY8" s="1" t="s">
        <v>72</v>
      </c>
      <c r="AZ8" s="1" t="s">
        <v>73</v>
      </c>
      <c r="BA8" s="1" t="s">
        <v>74</v>
      </c>
      <c r="BB8" s="1" t="s">
        <v>75</v>
      </c>
      <c r="BC8" s="1" t="s">
        <v>76</v>
      </c>
      <c r="BD8" s="1" t="s">
        <v>77</v>
      </c>
      <c r="BE8" s="1" t="s">
        <v>78</v>
      </c>
    </row>
    <row r="9" spans="1:57" ht="240" customHeight="1" x14ac:dyDescent="0.25">
      <c r="A9" s="2">
        <v>1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3" t="s">
        <v>84</v>
      </c>
      <c r="H9" s="4">
        <v>32020</v>
      </c>
      <c r="I9" s="5">
        <v>32020</v>
      </c>
      <c r="J9" s="6">
        <f t="shared" ref="J9:J15" si="0">I9-H9</f>
        <v>0</v>
      </c>
      <c r="K9" s="4">
        <v>1820000</v>
      </c>
      <c r="L9" s="5">
        <v>1870000</v>
      </c>
      <c r="M9" s="7">
        <f t="shared" ref="M9:M15" si="1">L9-K9</f>
        <v>50000</v>
      </c>
      <c r="N9" s="8">
        <v>0</v>
      </c>
      <c r="O9" s="8">
        <v>0</v>
      </c>
      <c r="P9" s="6">
        <f t="shared" ref="P9:P15" si="2">O9-N9</f>
        <v>0</v>
      </c>
      <c r="Q9" s="4">
        <v>321</v>
      </c>
      <c r="R9" s="5">
        <v>201.05</v>
      </c>
      <c r="S9" s="7">
        <f t="shared" ref="S9:S15" si="3">R9-Q9</f>
        <v>-119.94999999999999</v>
      </c>
      <c r="T9" s="4">
        <v>11443.56</v>
      </c>
      <c r="U9" s="5">
        <v>11221.94</v>
      </c>
      <c r="V9" s="7">
        <f t="shared" ref="V9:V15" si="4">U9-T9</f>
        <v>-221.61999999999898</v>
      </c>
      <c r="W9" s="8">
        <v>0</v>
      </c>
      <c r="X9" s="8">
        <v>0</v>
      </c>
      <c r="Y9" s="6">
        <f t="shared" ref="Y9:Y15" si="5">X9-W9</f>
        <v>0</v>
      </c>
      <c r="Z9" s="8">
        <v>0</v>
      </c>
      <c r="AA9" s="8">
        <v>0</v>
      </c>
      <c r="AB9" s="6">
        <f t="shared" ref="AB9:AB15" si="6">AA9-Z9</f>
        <v>0</v>
      </c>
      <c r="AC9" s="8">
        <v>1</v>
      </c>
      <c r="AD9" s="8">
        <v>1</v>
      </c>
      <c r="AE9" s="6">
        <f t="shared" ref="AE9:AE15" si="7">AD9-AC9</f>
        <v>0</v>
      </c>
      <c r="AF9" s="8">
        <v>1</v>
      </c>
      <c r="AG9" s="8">
        <v>1</v>
      </c>
      <c r="AH9" s="6">
        <f t="shared" ref="AH9:AH15" si="8">AG9-AF9</f>
        <v>0</v>
      </c>
      <c r="AI9" s="4">
        <f>SUM(4541)</f>
        <v>4541</v>
      </c>
      <c r="AJ9" s="5">
        <f>SUM(4582)</f>
        <v>4582</v>
      </c>
      <c r="AK9" s="7">
        <f t="shared" ref="AK9:AK15" si="9">AJ9-AI9</f>
        <v>41</v>
      </c>
      <c r="AL9" s="9">
        <f t="shared" ref="AL9:AM15" si="10">(((N9+Q9)/AC9)+(T9/AC9)+((W9+Z9)/AC9)+(AI9))*AF9/H9</f>
        <v>0.50923048094940659</v>
      </c>
      <c r="AM9" s="10">
        <f t="shared" si="10"/>
        <v>0.49984353529044345</v>
      </c>
      <c r="AN9" s="11">
        <f t="shared" ref="AN9:AN15" si="11">(AM9-AL9)*100</f>
        <v>-0.93869456589631417</v>
      </c>
      <c r="AO9" s="9">
        <v>0.50919999999999999</v>
      </c>
      <c r="AP9" s="10">
        <v>0.9385</v>
      </c>
      <c r="AQ9" s="11">
        <f t="shared" ref="AQ9:AQ15" si="12">(AP9-AO9)*100</f>
        <v>42.93</v>
      </c>
      <c r="AR9" s="11">
        <f t="shared" ref="AR9:AS15" si="13">(AL9-AO9)*100</f>
        <v>3.0480949406608282E-3</v>
      </c>
      <c r="AS9" s="11">
        <f t="shared" si="13"/>
        <v>-43.865646470955653</v>
      </c>
      <c r="AT9" s="8">
        <f t="shared" ref="AT9:AU15" si="14">(AO9-AL9)*H9/AF9</f>
        <v>-0.97599999999959719</v>
      </c>
      <c r="AU9" s="8">
        <f t="shared" si="14"/>
        <v>14045.78</v>
      </c>
      <c r="AV9" s="8">
        <f t="shared" ref="AV9:AW15" si="15">AI9+AT9</f>
        <v>4540.0240000000003</v>
      </c>
      <c r="AW9" s="8">
        <f t="shared" si="15"/>
        <v>18627.78</v>
      </c>
      <c r="AX9" s="9">
        <f t="shared" ref="AX9:AY15" si="16">(((N9+Q9)/AC9)+(T9/AC9)+((W9+Z9)/AC9)+(AV9))*AF9/H9</f>
        <v>0.50919999999999999</v>
      </c>
      <c r="AY9" s="9">
        <f t="shared" si="16"/>
        <v>0.93849999999999989</v>
      </c>
      <c r="AZ9" s="8">
        <f t="shared" ref="AZ9:AZ15" si="17">(AL9-AM9)*I9/AG9</f>
        <v>300.56999999999982</v>
      </c>
      <c r="BA9" s="9">
        <f t="shared" ref="BA9:BA15" si="18">(((O9+R9)/AD9)+(U9/AD9)+((X9+AA9)/AD9)+(AJ9+AZ9))*AG9/I9</f>
        <v>0.50923048094940659</v>
      </c>
      <c r="BB9" s="9">
        <f t="shared" ref="BB9:BB15" si="19">AO9</f>
        <v>0.50919999999999999</v>
      </c>
      <c r="BC9" s="8">
        <f t="shared" ref="BC9:BC15" si="20">(AO9-AM9)*I9/AG9</f>
        <v>299.59400000000022</v>
      </c>
      <c r="BD9" s="8">
        <f t="shared" ref="BD9:BD15" si="21">AJ9+BC9</f>
        <v>4881.5940000000001</v>
      </c>
      <c r="BE9" s="9">
        <f t="shared" ref="BE9:BE15" si="22">(((O9+R9)/AD9)+(U9/AD9)+((X9+AA9)/AD9)+(BD9))*AG9/I9</f>
        <v>0.50919999999999999</v>
      </c>
    </row>
    <row r="10" spans="1:57" ht="240" customHeight="1" x14ac:dyDescent="0.25">
      <c r="A10" s="2">
        <v>2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3" t="s">
        <v>90</v>
      </c>
      <c r="H10" s="4">
        <v>47938</v>
      </c>
      <c r="I10" s="5">
        <v>47938</v>
      </c>
      <c r="J10" s="6">
        <f t="shared" si="0"/>
        <v>0</v>
      </c>
      <c r="K10" s="4">
        <v>2930000</v>
      </c>
      <c r="L10" s="5">
        <v>3401000</v>
      </c>
      <c r="M10" s="7">
        <f t="shared" si="1"/>
        <v>471000</v>
      </c>
      <c r="N10" s="8">
        <v>0</v>
      </c>
      <c r="O10" s="8">
        <v>0</v>
      </c>
      <c r="P10" s="6">
        <f t="shared" si="2"/>
        <v>0</v>
      </c>
      <c r="Q10" s="4">
        <v>528</v>
      </c>
      <c r="R10" s="5">
        <v>372.67</v>
      </c>
      <c r="S10" s="7">
        <f t="shared" si="3"/>
        <v>-155.32999999999998</v>
      </c>
      <c r="T10" s="4">
        <v>17270.45</v>
      </c>
      <c r="U10" s="5">
        <v>19035.48</v>
      </c>
      <c r="V10" s="7">
        <f t="shared" si="4"/>
        <v>1765.0299999999988</v>
      </c>
      <c r="W10" s="8">
        <v>0</v>
      </c>
      <c r="X10" s="8">
        <v>0</v>
      </c>
      <c r="Y10" s="6">
        <f t="shared" si="5"/>
        <v>0</v>
      </c>
      <c r="Z10" s="8">
        <v>0</v>
      </c>
      <c r="AA10" s="8">
        <v>0</v>
      </c>
      <c r="AB10" s="6">
        <f t="shared" si="6"/>
        <v>0</v>
      </c>
      <c r="AC10" s="8">
        <v>1</v>
      </c>
      <c r="AD10" s="8">
        <v>1</v>
      </c>
      <c r="AE10" s="6">
        <f t="shared" si="7"/>
        <v>0</v>
      </c>
      <c r="AF10" s="8">
        <v>1</v>
      </c>
      <c r="AG10" s="8">
        <v>1</v>
      </c>
      <c r="AH10" s="6">
        <f t="shared" si="8"/>
        <v>0</v>
      </c>
      <c r="AI10" s="4">
        <f>SUM(1144.6)</f>
        <v>1144.5999999999999</v>
      </c>
      <c r="AJ10" s="5">
        <f>SUM(1144.6,8939.85,6000,6000,14312.43)</f>
        <v>36396.880000000005</v>
      </c>
      <c r="AK10" s="7">
        <f t="shared" si="9"/>
        <v>35252.280000000006</v>
      </c>
      <c r="AL10" s="10">
        <f t="shared" si="10"/>
        <v>0.3951572864950561</v>
      </c>
      <c r="AM10" s="10">
        <f t="shared" si="10"/>
        <v>1.1641084317243104</v>
      </c>
      <c r="AN10" s="11">
        <f t="shared" si="11"/>
        <v>76.895114522925439</v>
      </c>
      <c r="AO10" s="10">
        <v>0.56899999999999995</v>
      </c>
      <c r="AP10" s="10">
        <v>0.99639999999999995</v>
      </c>
      <c r="AQ10" s="11">
        <f t="shared" si="12"/>
        <v>42.74</v>
      </c>
      <c r="AR10" s="11">
        <f t="shared" si="13"/>
        <v>-17.384271350494384</v>
      </c>
      <c r="AS10" s="11">
        <f t="shared" si="13"/>
        <v>16.77084317243105</v>
      </c>
      <c r="AT10" s="8">
        <f t="shared" si="14"/>
        <v>8333.6719999999987</v>
      </c>
      <c r="AU10" s="8">
        <f t="shared" si="14"/>
        <v>-8039.6067999999959</v>
      </c>
      <c r="AV10" s="8">
        <f t="shared" si="15"/>
        <v>9478.271999999999</v>
      </c>
      <c r="AW10" s="8">
        <f t="shared" si="15"/>
        <v>28357.273200000011</v>
      </c>
      <c r="AX10" s="9">
        <f t="shared" si="16"/>
        <v>0.56900000000000006</v>
      </c>
      <c r="AY10" s="9">
        <f t="shared" si="16"/>
        <v>0.99640000000000006</v>
      </c>
      <c r="AZ10" s="8">
        <f t="shared" si="17"/>
        <v>-36861.979999999996</v>
      </c>
      <c r="BA10" s="9">
        <f t="shared" si="18"/>
        <v>0.39515728649505627</v>
      </c>
      <c r="BB10" s="9">
        <f t="shared" si="19"/>
        <v>0.56899999999999995</v>
      </c>
      <c r="BC10" s="8">
        <f t="shared" si="20"/>
        <v>-28528.307999999997</v>
      </c>
      <c r="BD10" s="8">
        <f t="shared" si="21"/>
        <v>7868.5720000000074</v>
      </c>
      <c r="BE10" s="9">
        <f t="shared" si="22"/>
        <v>0.56900000000000006</v>
      </c>
    </row>
    <row r="11" spans="1:57" ht="240" customHeight="1" x14ac:dyDescent="0.25">
      <c r="A11" s="2">
        <v>3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89</v>
      </c>
      <c r="G11" s="3" t="s">
        <v>95</v>
      </c>
      <c r="H11" s="4">
        <v>27600</v>
      </c>
      <c r="I11" s="5">
        <v>27600</v>
      </c>
      <c r="J11" s="6">
        <f t="shared" si="0"/>
        <v>0</v>
      </c>
      <c r="K11" s="4">
        <v>2300000</v>
      </c>
      <c r="L11" s="5">
        <v>2290000</v>
      </c>
      <c r="M11" s="7">
        <f t="shared" si="1"/>
        <v>-10000</v>
      </c>
      <c r="N11" s="8">
        <v>0</v>
      </c>
      <c r="O11" s="8">
        <v>0</v>
      </c>
      <c r="P11" s="6">
        <f t="shared" si="2"/>
        <v>0</v>
      </c>
      <c r="Q11" s="4">
        <v>258.18</v>
      </c>
      <c r="R11" s="5">
        <v>250.78</v>
      </c>
      <c r="S11" s="7">
        <f t="shared" si="3"/>
        <v>-7.4000000000000057</v>
      </c>
      <c r="T11" s="4">
        <v>13506.65</v>
      </c>
      <c r="U11" s="5">
        <v>12809.1</v>
      </c>
      <c r="V11" s="7">
        <f t="shared" si="4"/>
        <v>-697.54999999999927</v>
      </c>
      <c r="W11" s="8">
        <v>0</v>
      </c>
      <c r="X11" s="8">
        <v>0</v>
      </c>
      <c r="Y11" s="6">
        <f t="shared" si="5"/>
        <v>0</v>
      </c>
      <c r="Z11" s="8">
        <v>0</v>
      </c>
      <c r="AA11" s="8">
        <v>0</v>
      </c>
      <c r="AB11" s="6">
        <f t="shared" si="6"/>
        <v>0</v>
      </c>
      <c r="AC11" s="8">
        <v>1</v>
      </c>
      <c r="AD11" s="8">
        <v>1</v>
      </c>
      <c r="AE11" s="6">
        <f t="shared" si="7"/>
        <v>0</v>
      </c>
      <c r="AF11" s="8">
        <v>1</v>
      </c>
      <c r="AG11" s="8">
        <v>1</v>
      </c>
      <c r="AH11" s="6">
        <f t="shared" si="8"/>
        <v>0</v>
      </c>
      <c r="AI11" s="4">
        <f>0</f>
        <v>0</v>
      </c>
      <c r="AJ11" s="5">
        <f>SUM(4921,8338)</f>
        <v>13259</v>
      </c>
      <c r="AK11" s="7">
        <f t="shared" si="9"/>
        <v>13259</v>
      </c>
      <c r="AL11" s="9">
        <f t="shared" si="10"/>
        <v>0.49872572463768117</v>
      </c>
      <c r="AM11" s="10">
        <f t="shared" si="10"/>
        <v>0.95358260869565226</v>
      </c>
      <c r="AN11" s="11">
        <f t="shared" si="11"/>
        <v>45.485688405797106</v>
      </c>
      <c r="AO11" s="9">
        <v>0.49869999999999998</v>
      </c>
      <c r="AP11" s="10">
        <v>1.0648</v>
      </c>
      <c r="AQ11" s="11">
        <f t="shared" si="12"/>
        <v>56.610000000000007</v>
      </c>
      <c r="AR11" s="11">
        <f t="shared" si="13"/>
        <v>2.5724637681190377E-3</v>
      </c>
      <c r="AS11" s="11">
        <f t="shared" si="13"/>
        <v>-11.121739130434772</v>
      </c>
      <c r="AT11" s="8">
        <f t="shared" si="14"/>
        <v>-0.71000000000085439</v>
      </c>
      <c r="AU11" s="8">
        <f t="shared" si="14"/>
        <v>3069.5999999999967</v>
      </c>
      <c r="AV11" s="8">
        <f t="shared" si="15"/>
        <v>-0.71000000000085439</v>
      </c>
      <c r="AW11" s="8">
        <f t="shared" si="15"/>
        <v>16328.599999999997</v>
      </c>
      <c r="AX11" s="9">
        <f t="shared" si="16"/>
        <v>0.49869999999999998</v>
      </c>
      <c r="AY11" s="9">
        <f t="shared" si="16"/>
        <v>1.0647999999999997</v>
      </c>
      <c r="AZ11" s="8">
        <f t="shared" si="17"/>
        <v>-12554.050000000003</v>
      </c>
      <c r="BA11" s="9">
        <f t="shared" si="18"/>
        <v>0.49872572463768111</v>
      </c>
      <c r="BB11" s="9">
        <f t="shared" si="19"/>
        <v>0.49869999999999998</v>
      </c>
      <c r="BC11" s="8">
        <f t="shared" si="20"/>
        <v>-12554.760000000002</v>
      </c>
      <c r="BD11" s="8">
        <f t="shared" si="21"/>
        <v>704.23999999999796</v>
      </c>
      <c r="BE11" s="9">
        <f t="shared" si="22"/>
        <v>0.49869999999999998</v>
      </c>
    </row>
    <row r="12" spans="1:57" ht="240" customHeight="1" x14ac:dyDescent="0.25">
      <c r="A12" s="2">
        <v>4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89</v>
      </c>
      <c r="G12" s="3" t="s">
        <v>100</v>
      </c>
      <c r="H12" s="4">
        <v>64458</v>
      </c>
      <c r="I12" s="5">
        <v>64458</v>
      </c>
      <c r="J12" s="6">
        <f t="shared" si="0"/>
        <v>0</v>
      </c>
      <c r="K12" s="4">
        <v>1310000</v>
      </c>
      <c r="L12" s="5">
        <v>1300000</v>
      </c>
      <c r="M12" s="7">
        <f t="shared" si="1"/>
        <v>-10000</v>
      </c>
      <c r="N12" s="8">
        <v>0</v>
      </c>
      <c r="O12" s="8">
        <v>0</v>
      </c>
      <c r="P12" s="6">
        <f t="shared" si="2"/>
        <v>0</v>
      </c>
      <c r="Q12" s="4">
        <v>137.27000000000001</v>
      </c>
      <c r="R12" s="5">
        <v>136.05000000000001</v>
      </c>
      <c r="S12" s="7">
        <f t="shared" si="3"/>
        <v>-1.2199999999999989</v>
      </c>
      <c r="T12" s="4">
        <v>8905.68</v>
      </c>
      <c r="U12" s="5">
        <v>8825.76</v>
      </c>
      <c r="V12" s="7">
        <f t="shared" si="4"/>
        <v>-79.920000000000073</v>
      </c>
      <c r="W12" s="8">
        <v>0</v>
      </c>
      <c r="X12" s="8">
        <v>0</v>
      </c>
      <c r="Y12" s="6">
        <f t="shared" si="5"/>
        <v>0</v>
      </c>
      <c r="Z12" s="8">
        <v>0</v>
      </c>
      <c r="AA12" s="8">
        <v>0</v>
      </c>
      <c r="AB12" s="6">
        <f t="shared" si="6"/>
        <v>0</v>
      </c>
      <c r="AC12" s="8">
        <v>1</v>
      </c>
      <c r="AD12" s="8">
        <v>1</v>
      </c>
      <c r="AE12" s="6">
        <f t="shared" si="7"/>
        <v>0</v>
      </c>
      <c r="AF12" s="8">
        <v>1</v>
      </c>
      <c r="AG12" s="8">
        <v>1</v>
      </c>
      <c r="AH12" s="6">
        <f t="shared" si="8"/>
        <v>0</v>
      </c>
      <c r="AI12" s="4">
        <f>SUM(1050,9375,50,6180,2413)</f>
        <v>19068</v>
      </c>
      <c r="AJ12" s="5">
        <f>SUM(2413,9216,6180,50,9375,0,0,17242.41)</f>
        <v>44476.41</v>
      </c>
      <c r="AK12" s="7">
        <f t="shared" si="9"/>
        <v>25408.410000000003</v>
      </c>
      <c r="AL12" s="10">
        <f t="shared" si="10"/>
        <v>0.43611266250892056</v>
      </c>
      <c r="AM12" s="10">
        <f t="shared" si="10"/>
        <v>0.8290393744764033</v>
      </c>
      <c r="AN12" s="11">
        <f t="shared" si="11"/>
        <v>39.292671196748273</v>
      </c>
      <c r="AO12" s="10">
        <v>0.46710000000000002</v>
      </c>
      <c r="AP12" s="10">
        <v>0.60809999999999997</v>
      </c>
      <c r="AQ12" s="11">
        <f t="shared" si="12"/>
        <v>14.099999999999996</v>
      </c>
      <c r="AR12" s="11">
        <f t="shared" si="13"/>
        <v>-3.0987337491079456</v>
      </c>
      <c r="AS12" s="11">
        <f t="shared" si="13"/>
        <v>22.093937447640332</v>
      </c>
      <c r="AT12" s="8">
        <f t="shared" si="14"/>
        <v>1997.3817999999997</v>
      </c>
      <c r="AU12" s="8">
        <f t="shared" si="14"/>
        <v>-14241.310200000005</v>
      </c>
      <c r="AV12" s="8">
        <f t="shared" si="15"/>
        <v>21065.381799999999</v>
      </c>
      <c r="AW12" s="8">
        <f t="shared" si="15"/>
        <v>30235.099799999996</v>
      </c>
      <c r="AX12" s="9">
        <f t="shared" si="16"/>
        <v>0.46710000000000002</v>
      </c>
      <c r="AY12" s="9">
        <f t="shared" si="16"/>
        <v>0.60809999999999986</v>
      </c>
      <c r="AZ12" s="8">
        <f t="shared" si="17"/>
        <v>-25327.270000000004</v>
      </c>
      <c r="BA12" s="9">
        <f t="shared" si="18"/>
        <v>0.4361126625089205</v>
      </c>
      <c r="BB12" s="9">
        <f t="shared" si="19"/>
        <v>0.46710000000000002</v>
      </c>
      <c r="BC12" s="8">
        <f t="shared" si="20"/>
        <v>-23329.888200000001</v>
      </c>
      <c r="BD12" s="8">
        <f t="shared" si="21"/>
        <v>21146.521800000002</v>
      </c>
      <c r="BE12" s="9">
        <f t="shared" si="22"/>
        <v>0.46710000000000002</v>
      </c>
    </row>
    <row r="13" spans="1:57" ht="240" customHeight="1" x14ac:dyDescent="0.25">
      <c r="A13" s="2">
        <v>5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89</v>
      </c>
      <c r="G13" s="3" t="s">
        <v>105</v>
      </c>
      <c r="H13" s="4">
        <v>40440</v>
      </c>
      <c r="I13" s="5">
        <v>40440</v>
      </c>
      <c r="J13" s="6">
        <f t="shared" si="0"/>
        <v>0</v>
      </c>
      <c r="K13" s="4">
        <v>3280000</v>
      </c>
      <c r="L13" s="5">
        <v>3280000</v>
      </c>
      <c r="M13" s="6">
        <f t="shared" si="1"/>
        <v>0</v>
      </c>
      <c r="N13" s="8">
        <v>0</v>
      </c>
      <c r="O13" s="8">
        <v>0</v>
      </c>
      <c r="P13" s="6">
        <f t="shared" si="2"/>
        <v>0</v>
      </c>
      <c r="Q13" s="4">
        <v>368.23</v>
      </c>
      <c r="R13" s="5">
        <v>358.65</v>
      </c>
      <c r="S13" s="7">
        <f t="shared" si="3"/>
        <v>-9.5800000000000409</v>
      </c>
      <c r="T13" s="4">
        <v>19152.599999999999</v>
      </c>
      <c r="U13" s="5">
        <v>18269.2</v>
      </c>
      <c r="V13" s="7">
        <f t="shared" si="4"/>
        <v>-883.39999999999782</v>
      </c>
      <c r="W13" s="8">
        <v>0</v>
      </c>
      <c r="X13" s="8">
        <v>0</v>
      </c>
      <c r="Y13" s="6">
        <f t="shared" si="5"/>
        <v>0</v>
      </c>
      <c r="Z13" s="8">
        <v>0</v>
      </c>
      <c r="AA13" s="8">
        <v>0</v>
      </c>
      <c r="AB13" s="6">
        <f t="shared" si="6"/>
        <v>0</v>
      </c>
      <c r="AC13" s="8">
        <v>1</v>
      </c>
      <c r="AD13" s="8">
        <v>1</v>
      </c>
      <c r="AE13" s="6">
        <f t="shared" si="7"/>
        <v>0</v>
      </c>
      <c r="AF13" s="8">
        <v>1</v>
      </c>
      <c r="AG13" s="8">
        <v>1</v>
      </c>
      <c r="AH13" s="6">
        <f t="shared" si="8"/>
        <v>0</v>
      </c>
      <c r="AI13" s="4">
        <f>0</f>
        <v>0</v>
      </c>
      <c r="AJ13" s="5">
        <f>0</f>
        <v>0</v>
      </c>
      <c r="AK13" s="6">
        <f t="shared" si="9"/>
        <v>0</v>
      </c>
      <c r="AL13" s="9">
        <f t="shared" si="10"/>
        <v>0.48271092977250241</v>
      </c>
      <c r="AM13" s="10">
        <f t="shared" si="10"/>
        <v>0.46062932739861528</v>
      </c>
      <c r="AN13" s="11">
        <f t="shared" si="11"/>
        <v>-2.2081602373887121</v>
      </c>
      <c r="AO13" s="9">
        <v>0.48270000000000002</v>
      </c>
      <c r="AP13" s="10">
        <v>0.88700000000000001</v>
      </c>
      <c r="AQ13" s="11">
        <f t="shared" si="12"/>
        <v>40.43</v>
      </c>
      <c r="AR13" s="11">
        <f t="shared" si="13"/>
        <v>1.0929772502388246E-3</v>
      </c>
      <c r="AS13" s="11">
        <f t="shared" si="13"/>
        <v>-42.637067260138473</v>
      </c>
      <c r="AT13" s="8">
        <f t="shared" si="14"/>
        <v>-0.44199999999658068</v>
      </c>
      <c r="AU13" s="8">
        <f t="shared" si="14"/>
        <v>17242.429999999997</v>
      </c>
      <c r="AV13" s="8">
        <f t="shared" si="15"/>
        <v>-0.44199999999658068</v>
      </c>
      <c r="AW13" s="8">
        <f t="shared" si="15"/>
        <v>17242.429999999997</v>
      </c>
      <c r="AX13" s="9">
        <f t="shared" si="16"/>
        <v>0.48270000000000007</v>
      </c>
      <c r="AY13" s="9">
        <f t="shared" si="16"/>
        <v>0.88700000000000001</v>
      </c>
      <c r="AZ13" s="8">
        <f t="shared" si="17"/>
        <v>892.97999999999524</v>
      </c>
      <c r="BA13" s="9">
        <f t="shared" si="18"/>
        <v>0.48271092977250241</v>
      </c>
      <c r="BB13" s="9">
        <f t="shared" si="19"/>
        <v>0.48270000000000002</v>
      </c>
      <c r="BC13" s="8">
        <f t="shared" si="20"/>
        <v>892.53799999999865</v>
      </c>
      <c r="BD13" s="8">
        <f t="shared" si="21"/>
        <v>892.53799999999865</v>
      </c>
      <c r="BE13" s="9">
        <f t="shared" si="22"/>
        <v>0.48269999999999996</v>
      </c>
    </row>
    <row r="14" spans="1:57" ht="240" customHeight="1" x14ac:dyDescent="0.25">
      <c r="A14" s="2">
        <v>6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89</v>
      </c>
      <c r="G14" s="3" t="s">
        <v>110</v>
      </c>
      <c r="H14" s="4">
        <v>51925</v>
      </c>
      <c r="I14" s="5">
        <v>51925</v>
      </c>
      <c r="J14" s="6">
        <f t="shared" si="0"/>
        <v>0</v>
      </c>
      <c r="K14" s="4">
        <v>2420000</v>
      </c>
      <c r="L14" s="5">
        <v>2420000</v>
      </c>
      <c r="M14" s="6">
        <f t="shared" si="1"/>
        <v>0</v>
      </c>
      <c r="N14" s="8">
        <v>0</v>
      </c>
      <c r="O14" s="8">
        <v>0</v>
      </c>
      <c r="P14" s="6">
        <f t="shared" si="2"/>
        <v>0</v>
      </c>
      <c r="Q14" s="4">
        <v>267.86</v>
      </c>
      <c r="R14" s="5">
        <v>265.33999999999997</v>
      </c>
      <c r="S14" s="7">
        <f t="shared" si="3"/>
        <v>-2.5200000000000387</v>
      </c>
      <c r="T14" s="4">
        <v>13485.6</v>
      </c>
      <c r="U14" s="5">
        <v>13516.51</v>
      </c>
      <c r="V14" s="7">
        <f t="shared" si="4"/>
        <v>30.909999999999854</v>
      </c>
      <c r="W14" s="8">
        <v>0</v>
      </c>
      <c r="X14" s="8">
        <v>0</v>
      </c>
      <c r="Y14" s="6">
        <f t="shared" si="5"/>
        <v>0</v>
      </c>
      <c r="Z14" s="8">
        <v>0</v>
      </c>
      <c r="AA14" s="8">
        <v>0</v>
      </c>
      <c r="AB14" s="6">
        <f t="shared" si="6"/>
        <v>0</v>
      </c>
      <c r="AC14" s="8">
        <v>1</v>
      </c>
      <c r="AD14" s="8">
        <v>1</v>
      </c>
      <c r="AE14" s="6">
        <f t="shared" si="7"/>
        <v>0</v>
      </c>
      <c r="AF14" s="8">
        <v>1</v>
      </c>
      <c r="AG14" s="8">
        <v>1</v>
      </c>
      <c r="AH14" s="6">
        <f t="shared" si="8"/>
        <v>0</v>
      </c>
      <c r="AI14" s="4">
        <f>SUM(6654,997)</f>
        <v>7651</v>
      </c>
      <c r="AJ14" s="5">
        <f>SUM(997,6654,14937)</f>
        <v>22588</v>
      </c>
      <c r="AK14" s="7">
        <f t="shared" si="9"/>
        <v>14937</v>
      </c>
      <c r="AL14" s="9">
        <f t="shared" si="10"/>
        <v>0.41221877708233029</v>
      </c>
      <c r="AM14" s="9">
        <f t="shared" si="10"/>
        <v>0.70043042850264803</v>
      </c>
      <c r="AN14" s="11">
        <f t="shared" si="11"/>
        <v>28.821165142031774</v>
      </c>
      <c r="AO14" s="9">
        <v>0.41220000000000001</v>
      </c>
      <c r="AP14" s="9">
        <v>0.70040000000000002</v>
      </c>
      <c r="AQ14" s="11">
        <f t="shared" si="12"/>
        <v>28.82</v>
      </c>
      <c r="AR14" s="11">
        <f t="shared" si="13"/>
        <v>1.8777082330279082E-3</v>
      </c>
      <c r="AS14" s="11">
        <f t="shared" si="13"/>
        <v>3.0428502648005562E-3</v>
      </c>
      <c r="AT14" s="8">
        <f t="shared" si="14"/>
        <v>-0.97499999999974141</v>
      </c>
      <c r="AU14" s="8">
        <f t="shared" si="14"/>
        <v>-1.5799999999976888</v>
      </c>
      <c r="AV14" s="8">
        <f t="shared" si="15"/>
        <v>7650.0250000000005</v>
      </c>
      <c r="AW14" s="8">
        <f t="shared" si="15"/>
        <v>22586.420000000002</v>
      </c>
      <c r="AX14" s="9">
        <f t="shared" si="16"/>
        <v>0.41220000000000001</v>
      </c>
      <c r="AY14" s="9">
        <f t="shared" si="16"/>
        <v>0.70040000000000013</v>
      </c>
      <c r="AZ14" s="8">
        <f t="shared" si="17"/>
        <v>-14965.39</v>
      </c>
      <c r="BA14" s="9">
        <f t="shared" si="18"/>
        <v>0.41221877708233029</v>
      </c>
      <c r="BB14" s="9">
        <f t="shared" si="19"/>
        <v>0.41220000000000001</v>
      </c>
      <c r="BC14" s="8">
        <f t="shared" si="20"/>
        <v>-14966.364999999998</v>
      </c>
      <c r="BD14" s="8">
        <f t="shared" si="21"/>
        <v>7621.635000000002</v>
      </c>
      <c r="BE14" s="9">
        <f t="shared" si="22"/>
        <v>0.41220000000000001</v>
      </c>
    </row>
    <row r="15" spans="1:57" ht="240" customHeight="1" x14ac:dyDescent="0.25">
      <c r="A15" s="2">
        <v>7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89</v>
      </c>
      <c r="G15" s="3" t="s">
        <v>115</v>
      </c>
      <c r="H15" s="4">
        <v>56031</v>
      </c>
      <c r="I15" s="5">
        <v>56031</v>
      </c>
      <c r="J15" s="6">
        <f t="shared" si="0"/>
        <v>0</v>
      </c>
      <c r="K15" s="4">
        <v>3300000</v>
      </c>
      <c r="L15" s="5">
        <v>3065000</v>
      </c>
      <c r="M15" s="7">
        <f t="shared" si="1"/>
        <v>-235000</v>
      </c>
      <c r="N15" s="8">
        <v>0</v>
      </c>
      <c r="O15" s="8">
        <v>0</v>
      </c>
      <c r="P15" s="6">
        <f t="shared" si="2"/>
        <v>0</v>
      </c>
      <c r="Q15" s="4">
        <v>340.05</v>
      </c>
      <c r="R15" s="5">
        <v>316.2</v>
      </c>
      <c r="S15" s="7">
        <f t="shared" si="3"/>
        <v>-23.850000000000023</v>
      </c>
      <c r="T15" s="4">
        <v>24831.71</v>
      </c>
      <c r="U15" s="5">
        <v>23228.14</v>
      </c>
      <c r="V15" s="7">
        <f t="shared" si="4"/>
        <v>-1603.5699999999997</v>
      </c>
      <c r="W15" s="8">
        <v>0</v>
      </c>
      <c r="X15" s="8">
        <v>0</v>
      </c>
      <c r="Y15" s="6">
        <f t="shared" si="5"/>
        <v>0</v>
      </c>
      <c r="Z15" s="8">
        <v>0</v>
      </c>
      <c r="AA15" s="8">
        <v>0</v>
      </c>
      <c r="AB15" s="6">
        <f t="shared" si="6"/>
        <v>0</v>
      </c>
      <c r="AC15" s="8">
        <v>1</v>
      </c>
      <c r="AD15" s="8">
        <v>1</v>
      </c>
      <c r="AE15" s="6">
        <f t="shared" si="7"/>
        <v>0</v>
      </c>
      <c r="AF15" s="8">
        <v>1</v>
      </c>
      <c r="AG15" s="8">
        <v>1</v>
      </c>
      <c r="AH15" s="6">
        <f t="shared" si="8"/>
        <v>0</v>
      </c>
      <c r="AI15" s="4">
        <f>SUM(2500)</f>
        <v>2500</v>
      </c>
      <c r="AJ15" s="5">
        <f>SUM(25508,3000,750,1250)</f>
        <v>30508</v>
      </c>
      <c r="AK15" s="7">
        <f t="shared" si="9"/>
        <v>28008</v>
      </c>
      <c r="AL15" s="9">
        <f t="shared" si="10"/>
        <v>0.49386518177437488</v>
      </c>
      <c r="AM15" s="10">
        <f t="shared" si="10"/>
        <v>0.96468633435062723</v>
      </c>
      <c r="AN15" s="11">
        <f t="shared" si="11"/>
        <v>47.082115257625233</v>
      </c>
      <c r="AO15" s="9">
        <v>0.49390000000000001</v>
      </c>
      <c r="AP15" s="10">
        <v>1.0361</v>
      </c>
      <c r="AQ15" s="11">
        <f t="shared" si="12"/>
        <v>54.22</v>
      </c>
      <c r="AR15" s="11">
        <f t="shared" si="13"/>
        <v>-3.4818225625121713E-3</v>
      </c>
      <c r="AS15" s="11">
        <f t="shared" si="13"/>
        <v>-7.1413665649372788</v>
      </c>
      <c r="AT15" s="8">
        <f t="shared" si="14"/>
        <v>1.9509000000011947</v>
      </c>
      <c r="AU15" s="8">
        <f t="shared" si="14"/>
        <v>4001.3791000000069</v>
      </c>
      <c r="AV15" s="8">
        <f t="shared" si="15"/>
        <v>2501.9509000000012</v>
      </c>
      <c r="AW15" s="8">
        <f t="shared" si="15"/>
        <v>34509.379100000006</v>
      </c>
      <c r="AX15" s="9">
        <f t="shared" si="16"/>
        <v>0.49389999999999995</v>
      </c>
      <c r="AY15" s="9">
        <f t="shared" si="16"/>
        <v>1.0361</v>
      </c>
      <c r="AZ15" s="8">
        <f t="shared" si="17"/>
        <v>-26380.579999999994</v>
      </c>
      <c r="BA15" s="9">
        <f t="shared" si="18"/>
        <v>0.49386518177437499</v>
      </c>
      <c r="BB15" s="9">
        <f t="shared" si="19"/>
        <v>0.49390000000000001</v>
      </c>
      <c r="BC15" s="8">
        <f t="shared" si="20"/>
        <v>-26378.629099999995</v>
      </c>
      <c r="BD15" s="8">
        <f t="shared" si="21"/>
        <v>4129.3709000000053</v>
      </c>
      <c r="BE15" s="9">
        <f t="shared" si="22"/>
        <v>0.49390000000000012</v>
      </c>
    </row>
    <row r="16" spans="1:57" ht="240" customHeight="1" x14ac:dyDescent="0.25">
      <c r="A16" s="2">
        <v>8</v>
      </c>
      <c r="B16" s="2"/>
      <c r="C16" s="2"/>
      <c r="D16" s="2" t="s">
        <v>116</v>
      </c>
      <c r="E16" s="2" t="s">
        <v>117</v>
      </c>
      <c r="F16" s="2" t="s">
        <v>118</v>
      </c>
      <c r="G16" s="3" t="s">
        <v>119</v>
      </c>
      <c r="H16" s="2"/>
      <c r="I16" s="5">
        <v>17050</v>
      </c>
      <c r="J16" s="2"/>
      <c r="K16" s="2"/>
      <c r="L16" s="5">
        <v>935000</v>
      </c>
      <c r="M16" s="2"/>
      <c r="N16" s="2"/>
      <c r="O16" s="8">
        <v>0</v>
      </c>
      <c r="P16" s="2"/>
      <c r="Q16" s="2"/>
      <c r="R16" s="5">
        <v>103.9</v>
      </c>
      <c r="S16" s="2"/>
      <c r="T16" s="2"/>
      <c r="U16" s="5">
        <v>5486.43</v>
      </c>
      <c r="V16" s="2"/>
      <c r="W16" s="2"/>
      <c r="X16" s="8">
        <v>0</v>
      </c>
      <c r="Y16" s="2"/>
      <c r="Z16" s="2"/>
      <c r="AA16" s="8">
        <v>0</v>
      </c>
      <c r="AB16" s="2"/>
      <c r="AC16" s="2"/>
      <c r="AD16" s="8">
        <v>1</v>
      </c>
      <c r="AE16" s="2"/>
      <c r="AF16" s="2"/>
      <c r="AG16" s="8">
        <v>1</v>
      </c>
      <c r="AH16" s="2"/>
      <c r="AI16" s="2"/>
      <c r="AJ16" s="5">
        <f>SUM(2320,6199)</f>
        <v>8519</v>
      </c>
      <c r="AK16" s="2"/>
      <c r="AL16" s="2"/>
      <c r="AM16" s="10">
        <f>(((O16+R16)/AD16)+(U16/AD16)+((X16+AA16)/AD16)+(AJ16))*AG16/I16</f>
        <v>0.82752668621700876</v>
      </c>
      <c r="AN16" s="2"/>
      <c r="AO16" s="2"/>
      <c r="AP16" s="10">
        <v>0.82579999999999998</v>
      </c>
      <c r="AQ16" s="2"/>
      <c r="AR16" s="2"/>
      <c r="AS16" s="11">
        <f>(AM16-AP16)*100</f>
        <v>0.17266862170087771</v>
      </c>
      <c r="AT16" s="2"/>
      <c r="AU16" s="8">
        <f>(AP16-AM16)*I16/AG16</f>
        <v>-29.43999999999965</v>
      </c>
      <c r="AV16" s="2"/>
      <c r="AW16" s="8">
        <f>AJ16+AU16</f>
        <v>8489.56</v>
      </c>
      <c r="AX16" s="2"/>
      <c r="AY16" s="9">
        <f>(((O16+R16)/AD16)+(U16/AD16)+((X16+AA16)/AD16)+(AW16))*AG16/I16</f>
        <v>0.82579999999999998</v>
      </c>
      <c r="AZ16" s="2"/>
      <c r="BA16" s="2"/>
      <c r="BB16" s="2"/>
      <c r="BC16" s="2"/>
      <c r="BD16" s="2"/>
      <c r="BE16" s="2"/>
    </row>
  </sheetData>
  <mergeCells count="22">
    <mergeCell ref="A1:BE1"/>
    <mergeCell ref="A6:BE6"/>
    <mergeCell ref="W7:Y7"/>
    <mergeCell ref="H7:J7"/>
    <mergeCell ref="AZ7:BE7"/>
    <mergeCell ref="AI7:AK7"/>
    <mergeCell ref="T7:V7"/>
    <mergeCell ref="A3:BE3"/>
    <mergeCell ref="K7:M7"/>
    <mergeCell ref="AF7:AH7"/>
    <mergeCell ref="A2:BE2"/>
    <mergeCell ref="A5:BE5"/>
    <mergeCell ref="A7:G7"/>
    <mergeCell ref="Q7:S7"/>
    <mergeCell ref="AT7:AY7"/>
    <mergeCell ref="A4:BE4"/>
    <mergeCell ref="AC7:AE7"/>
    <mergeCell ref="N7:P7"/>
    <mergeCell ref="AO7:AQ7"/>
    <mergeCell ref="Z7:AB7"/>
    <mergeCell ref="AR7:AS7"/>
    <mergeCell ref="AL7:AN7"/>
  </mergeCells>
  <pageMargins left="0.75" right="0.75" top="1" bottom="1" header="0.5" footer="0.5"/>
  <pageSetup paperSize="8" fitToWidth="0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2"/>
  <sheetViews>
    <sheetView showGridLines="0" tabSelected="1" workbookViewId="0">
      <pane xSplit="5" ySplit="4" topLeftCell="J5" activePane="bottomRight" state="frozen"/>
      <selection pane="topRight"/>
      <selection pane="bottomLeft"/>
      <selection pane="bottomRight" activeCell="Y12" sqref="Y12"/>
    </sheetView>
  </sheetViews>
  <sheetFormatPr defaultRowHeight="15" x14ac:dyDescent="0.25"/>
  <cols>
    <col min="1" max="1" width="7.42578125" bestFit="1" customWidth="1"/>
    <col min="2" max="2" width="9.42578125" bestFit="1" customWidth="1"/>
    <col min="3" max="3" width="11.85546875" bestFit="1" customWidth="1"/>
    <col min="4" max="4" width="10.140625" bestFit="1" customWidth="1"/>
    <col min="5" max="5" width="11.85546875" bestFit="1" customWidth="1"/>
    <col min="6" max="6" width="13.85546875" bestFit="1" customWidth="1"/>
    <col min="7" max="7" width="14.5703125" bestFit="1" customWidth="1"/>
    <col min="8" max="8" width="14.85546875" bestFit="1" customWidth="1"/>
    <col min="9" max="9" width="12.28515625" bestFit="1" customWidth="1"/>
    <col min="10" max="10" width="13" bestFit="1" customWidth="1"/>
    <col min="11" max="11" width="17.28515625" bestFit="1" customWidth="1"/>
    <col min="12" max="12" width="13.85546875" bestFit="1" customWidth="1"/>
    <col min="13" max="13" width="14.5703125" bestFit="1" customWidth="1"/>
    <col min="14" max="14" width="10.42578125" bestFit="1" customWidth="1"/>
    <col min="15" max="15" width="12.28515625" bestFit="1" customWidth="1"/>
    <col min="16" max="16" width="10.140625" bestFit="1" customWidth="1"/>
    <col min="17" max="17" width="10.5703125" bestFit="1" customWidth="1"/>
    <col min="18" max="18" width="9.28515625" bestFit="1" customWidth="1"/>
    <col min="19" max="19" width="10" bestFit="1" customWidth="1"/>
    <col min="20" max="20" width="10.42578125" bestFit="1" customWidth="1"/>
    <col min="21" max="21" width="13.42578125" bestFit="1" customWidth="1"/>
    <col min="22" max="22" width="12.140625" bestFit="1" customWidth="1"/>
    <col min="23" max="23" width="12.42578125" bestFit="1" customWidth="1"/>
    <col min="24" max="24" width="14.140625" bestFit="1" customWidth="1"/>
    <col min="25" max="25" width="12.85546875" bestFit="1" customWidth="1"/>
    <col min="26" max="26" width="12.42578125" bestFit="1" customWidth="1"/>
  </cols>
  <sheetData>
    <row r="1" spans="1:26" x14ac:dyDescent="0.25">
      <c r="A1" s="26" t="s">
        <v>120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6" x14ac:dyDescent="0.25">
      <c r="A2" s="28" t="s">
        <v>121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6" x14ac:dyDescent="0.25">
      <c r="A3" s="28" t="s">
        <v>122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6" ht="30" x14ac:dyDescent="0.25">
      <c r="A4" s="12" t="s">
        <v>22</v>
      </c>
      <c r="B4" s="24" t="s">
        <v>123</v>
      </c>
      <c r="C4" s="24" t="s">
        <v>139</v>
      </c>
      <c r="D4" s="24" t="s">
        <v>124</v>
      </c>
      <c r="E4" s="24" t="s">
        <v>138</v>
      </c>
      <c r="F4" s="24" t="s">
        <v>132</v>
      </c>
      <c r="G4" s="24" t="s">
        <v>133</v>
      </c>
      <c r="H4" s="24" t="s">
        <v>134</v>
      </c>
      <c r="I4" s="24" t="s">
        <v>125</v>
      </c>
      <c r="J4" s="24" t="s">
        <v>126</v>
      </c>
      <c r="K4" s="24" t="s">
        <v>127</v>
      </c>
      <c r="L4" s="13" t="s">
        <v>41</v>
      </c>
      <c r="M4" s="13" t="s">
        <v>42</v>
      </c>
      <c r="N4" s="24" t="s">
        <v>128</v>
      </c>
      <c r="O4" s="24" t="s">
        <v>129</v>
      </c>
      <c r="P4" s="24" t="s">
        <v>130</v>
      </c>
      <c r="Q4" s="24" t="s">
        <v>131</v>
      </c>
      <c r="R4" s="24" t="s">
        <v>135</v>
      </c>
      <c r="S4" s="24" t="s">
        <v>136</v>
      </c>
      <c r="T4" s="24" t="s">
        <v>137</v>
      </c>
      <c r="U4" s="13" t="s">
        <v>140</v>
      </c>
      <c r="V4" s="13" t="s">
        <v>142</v>
      </c>
      <c r="W4" s="13" t="s">
        <v>144</v>
      </c>
      <c r="X4" s="13" t="s">
        <v>141</v>
      </c>
      <c r="Y4" s="13" t="s">
        <v>143</v>
      </c>
      <c r="Z4" s="13" t="s">
        <v>145</v>
      </c>
    </row>
    <row r="5" spans="1:26" x14ac:dyDescent="0.25">
      <c r="A5" s="14">
        <v>1</v>
      </c>
      <c r="B5" s="15" t="s">
        <v>79</v>
      </c>
      <c r="C5" s="15" t="s">
        <v>80</v>
      </c>
      <c r="D5" s="15" t="s">
        <v>81</v>
      </c>
      <c r="E5" s="15" t="s">
        <v>82</v>
      </c>
      <c r="F5" s="16">
        <f>'PF MF Side by Side'!K9</f>
        <v>1820000</v>
      </c>
      <c r="G5" s="16">
        <f>'PF MF Side by Side'!L9</f>
        <v>1870000</v>
      </c>
      <c r="H5" s="17">
        <f>'PF MF Side by Side'!M9</f>
        <v>50000</v>
      </c>
      <c r="I5" s="16">
        <f>'PF MF Side by Side'!Q9</f>
        <v>321</v>
      </c>
      <c r="J5" s="16">
        <f>'PF MF Side by Side'!R9</f>
        <v>201.05</v>
      </c>
      <c r="K5" s="17">
        <f>'PF MF Side by Side'!S9</f>
        <v>-119.94999999999999</v>
      </c>
      <c r="L5" s="16">
        <f>'PF MF Side by Side'!T9</f>
        <v>11443.56</v>
      </c>
      <c r="M5" s="16">
        <f>'PF MF Side by Side'!U9</f>
        <v>11221.94</v>
      </c>
      <c r="N5" s="17">
        <f>'PF MF Side by Side'!V9</f>
        <v>-221.61999999999898</v>
      </c>
      <c r="O5" s="16">
        <f>'PF MF Side by Side'!AI9</f>
        <v>4541</v>
      </c>
      <c r="P5" s="16">
        <f>'PF MF Side by Side'!AJ9</f>
        <v>4582</v>
      </c>
      <c r="Q5" s="17">
        <f>'PF MF Side by Side'!AK9</f>
        <v>41</v>
      </c>
      <c r="R5" s="18">
        <f>'PF MF Side by Side'!AO9</f>
        <v>0.50919999999999999</v>
      </c>
      <c r="S5" s="18">
        <f>'PF MF Side by Side'!AP9</f>
        <v>0.9385</v>
      </c>
      <c r="T5" s="19">
        <f>'PF MF Side by Side'!AQ9</f>
        <v>42.93</v>
      </c>
      <c r="U5" s="34">
        <v>45954</v>
      </c>
      <c r="V5" s="34">
        <v>45985</v>
      </c>
      <c r="W5" s="35">
        <f>V5-U5</f>
        <v>31</v>
      </c>
      <c r="X5" s="34">
        <v>46050</v>
      </c>
      <c r="Y5" s="34">
        <v>46082</v>
      </c>
      <c r="Z5" s="35">
        <f>Y5-X5</f>
        <v>32</v>
      </c>
    </row>
    <row r="6" spans="1:26" x14ac:dyDescent="0.25">
      <c r="A6" s="14">
        <v>2</v>
      </c>
      <c r="B6" s="15" t="s">
        <v>85</v>
      </c>
      <c r="C6" s="15" t="s">
        <v>86</v>
      </c>
      <c r="D6" s="15" t="s">
        <v>87</v>
      </c>
      <c r="E6" s="15" t="s">
        <v>88</v>
      </c>
      <c r="F6" s="16">
        <f>'PF MF Side by Side'!K10</f>
        <v>2930000</v>
      </c>
      <c r="G6" s="16">
        <f>'PF MF Side by Side'!L10</f>
        <v>3401000</v>
      </c>
      <c r="H6" s="17">
        <f>'PF MF Side by Side'!M10</f>
        <v>471000</v>
      </c>
      <c r="I6" s="16">
        <f>'PF MF Side by Side'!Q10</f>
        <v>528</v>
      </c>
      <c r="J6" s="16">
        <f>'PF MF Side by Side'!R10</f>
        <v>372.67</v>
      </c>
      <c r="K6" s="17">
        <f>'PF MF Side by Side'!S10</f>
        <v>-155.32999999999998</v>
      </c>
      <c r="L6" s="16">
        <f>'PF MF Side by Side'!T10</f>
        <v>17270.45</v>
      </c>
      <c r="M6" s="16">
        <f>'PF MF Side by Side'!U10</f>
        <v>19035.48</v>
      </c>
      <c r="N6" s="17">
        <f>'PF MF Side by Side'!V10</f>
        <v>1765.0299999999988</v>
      </c>
      <c r="O6" s="16">
        <f>'PF MF Side by Side'!AI10</f>
        <v>1144.5999999999999</v>
      </c>
      <c r="P6" s="16">
        <f>'PF MF Side by Side'!AJ10</f>
        <v>36396.880000000005</v>
      </c>
      <c r="Q6" s="17">
        <f>'PF MF Side by Side'!AK10</f>
        <v>35252.280000000006</v>
      </c>
      <c r="R6" s="18">
        <f>'PF MF Side by Side'!AO10</f>
        <v>0.56899999999999995</v>
      </c>
      <c r="S6" s="18">
        <f>'PF MF Side by Side'!AP10</f>
        <v>0.99639999999999995</v>
      </c>
      <c r="T6" s="19">
        <f>'PF MF Side by Side'!AQ10</f>
        <v>42.74</v>
      </c>
      <c r="U6" s="31">
        <v>45946</v>
      </c>
      <c r="V6" s="31">
        <v>45977</v>
      </c>
      <c r="W6" s="32">
        <f>V6-U6</f>
        <v>31</v>
      </c>
      <c r="X6" s="31">
        <v>46071</v>
      </c>
      <c r="Y6" s="31">
        <v>46109</v>
      </c>
      <c r="Z6" s="32">
        <f>Y6-X6</f>
        <v>38</v>
      </c>
    </row>
    <row r="7" spans="1:26" x14ac:dyDescent="0.25">
      <c r="A7" s="14">
        <v>3</v>
      </c>
      <c r="B7" s="15" t="s">
        <v>91</v>
      </c>
      <c r="C7" s="15" t="s">
        <v>92</v>
      </c>
      <c r="D7" s="15" t="s">
        <v>93</v>
      </c>
      <c r="E7" s="15" t="s">
        <v>94</v>
      </c>
      <c r="F7" s="16">
        <f>'PF MF Side by Side'!K11</f>
        <v>2300000</v>
      </c>
      <c r="G7" s="16">
        <f>'PF MF Side by Side'!L11</f>
        <v>2290000</v>
      </c>
      <c r="H7" s="17">
        <f>'PF MF Side by Side'!M11</f>
        <v>-10000</v>
      </c>
      <c r="I7" s="16">
        <f>'PF MF Side by Side'!Q11</f>
        <v>258.18</v>
      </c>
      <c r="J7" s="16">
        <f>'PF MF Side by Side'!R11</f>
        <v>250.78</v>
      </c>
      <c r="K7" s="17">
        <f>'PF MF Side by Side'!S11</f>
        <v>-7.4000000000000057</v>
      </c>
      <c r="L7" s="16">
        <f>'PF MF Side by Side'!T11</f>
        <v>13506.65</v>
      </c>
      <c r="M7" s="16">
        <f>'PF MF Side by Side'!U11</f>
        <v>12809.1</v>
      </c>
      <c r="N7" s="17">
        <f>'PF MF Side by Side'!V11</f>
        <v>-697.54999999999927</v>
      </c>
      <c r="O7" s="16">
        <f>'PF MF Side by Side'!AI11</f>
        <v>0</v>
      </c>
      <c r="P7" s="16">
        <f>'PF MF Side by Side'!AJ11</f>
        <v>13259</v>
      </c>
      <c r="Q7" s="17">
        <f>'PF MF Side by Side'!AK11</f>
        <v>13259</v>
      </c>
      <c r="R7" s="18">
        <f>'PF MF Side by Side'!AO11</f>
        <v>0.49869999999999998</v>
      </c>
      <c r="S7" s="18">
        <f>'PF MF Side by Side'!AP11</f>
        <v>1.0648</v>
      </c>
      <c r="T7" s="19">
        <f>'PF MF Side by Side'!AQ11</f>
        <v>56.610000000000007</v>
      </c>
      <c r="U7" s="31">
        <v>45964</v>
      </c>
      <c r="V7" s="31">
        <v>45964</v>
      </c>
      <c r="W7" s="33">
        <f>V7-U7</f>
        <v>0</v>
      </c>
      <c r="X7" s="31">
        <v>46049</v>
      </c>
      <c r="Y7" s="31">
        <v>46082</v>
      </c>
      <c r="Z7" s="32">
        <f>Y7-X7</f>
        <v>33</v>
      </c>
    </row>
    <row r="8" spans="1:26" x14ac:dyDescent="0.25">
      <c r="A8" s="14">
        <v>4</v>
      </c>
      <c r="B8" s="15" t="s">
        <v>96</v>
      </c>
      <c r="C8" s="15" t="s">
        <v>97</v>
      </c>
      <c r="D8" s="15" t="s">
        <v>98</v>
      </c>
      <c r="E8" s="15" t="s">
        <v>99</v>
      </c>
      <c r="F8" s="16">
        <f>'PF MF Side by Side'!K12</f>
        <v>1310000</v>
      </c>
      <c r="G8" s="16">
        <f>'PF MF Side by Side'!L12</f>
        <v>1300000</v>
      </c>
      <c r="H8" s="17">
        <f>'PF MF Side by Side'!M12</f>
        <v>-10000</v>
      </c>
      <c r="I8" s="16">
        <f>'PF MF Side by Side'!Q12</f>
        <v>137.27000000000001</v>
      </c>
      <c r="J8" s="16">
        <f>'PF MF Side by Side'!R12</f>
        <v>136.05000000000001</v>
      </c>
      <c r="K8" s="17">
        <f>'PF MF Side by Side'!S12</f>
        <v>-1.2199999999999989</v>
      </c>
      <c r="L8" s="16">
        <f>'PF MF Side by Side'!T12</f>
        <v>8905.68</v>
      </c>
      <c r="M8" s="16">
        <f>'PF MF Side by Side'!U12</f>
        <v>8825.76</v>
      </c>
      <c r="N8" s="17">
        <f>'PF MF Side by Side'!V12</f>
        <v>-79.920000000000073</v>
      </c>
      <c r="O8" s="16">
        <f>'PF MF Side by Side'!AI12</f>
        <v>19068</v>
      </c>
      <c r="P8" s="16">
        <f>'PF MF Side by Side'!AJ12</f>
        <v>44476.41</v>
      </c>
      <c r="Q8" s="17">
        <f>'PF MF Side by Side'!AK12</f>
        <v>25408.410000000003</v>
      </c>
      <c r="R8" s="18">
        <f>'PF MF Side by Side'!AO12</f>
        <v>0.46710000000000002</v>
      </c>
      <c r="S8" s="18">
        <f>'PF MF Side by Side'!AP12</f>
        <v>0.60809999999999997</v>
      </c>
      <c r="T8" s="19">
        <f>'PF MF Side by Side'!AQ12</f>
        <v>14.099999999999996</v>
      </c>
      <c r="U8" s="31">
        <v>46015</v>
      </c>
      <c r="V8" s="31">
        <v>46046</v>
      </c>
      <c r="W8" s="32">
        <f>V8-U8</f>
        <v>31</v>
      </c>
      <c r="X8" s="31">
        <v>46093</v>
      </c>
      <c r="Y8" s="31">
        <v>46112</v>
      </c>
      <c r="Z8" s="32">
        <f>Y8-X8</f>
        <v>19</v>
      </c>
    </row>
    <row r="9" spans="1:26" x14ac:dyDescent="0.25">
      <c r="A9" s="14">
        <v>5</v>
      </c>
      <c r="B9" s="15" t="s">
        <v>101</v>
      </c>
      <c r="C9" s="15" t="s">
        <v>102</v>
      </c>
      <c r="D9" s="15" t="s">
        <v>103</v>
      </c>
      <c r="E9" s="15" t="s">
        <v>104</v>
      </c>
      <c r="F9" s="16">
        <f>'PF MF Side by Side'!K13</f>
        <v>3280000</v>
      </c>
      <c r="G9" s="16">
        <f>'PF MF Side by Side'!L13</f>
        <v>3280000</v>
      </c>
      <c r="H9" s="15"/>
      <c r="I9" s="16">
        <f>'PF MF Side by Side'!Q13</f>
        <v>368.23</v>
      </c>
      <c r="J9" s="16">
        <f>'PF MF Side by Side'!R13</f>
        <v>358.65</v>
      </c>
      <c r="K9" s="17">
        <f>'PF MF Side by Side'!S13</f>
        <v>-9.5800000000000409</v>
      </c>
      <c r="L9" s="16">
        <f>'PF MF Side by Side'!T13</f>
        <v>19152.599999999999</v>
      </c>
      <c r="M9" s="16">
        <f>'PF MF Side by Side'!U13</f>
        <v>18269.2</v>
      </c>
      <c r="N9" s="17">
        <f>'PF MF Side by Side'!V13</f>
        <v>-883.39999999999782</v>
      </c>
      <c r="O9" s="16">
        <f>'PF MF Side by Side'!AI13</f>
        <v>0</v>
      </c>
      <c r="P9" s="16">
        <f>'PF MF Side by Side'!AJ13</f>
        <v>0</v>
      </c>
      <c r="Q9" s="15"/>
      <c r="R9" s="18">
        <f>'PF MF Side by Side'!AO13</f>
        <v>0.48270000000000002</v>
      </c>
      <c r="S9" s="18">
        <f>'PF MF Side by Side'!AP13</f>
        <v>0.88700000000000001</v>
      </c>
      <c r="T9" s="19">
        <f>'PF MF Side by Side'!AQ13</f>
        <v>40.43</v>
      </c>
      <c r="U9" s="31">
        <v>46053</v>
      </c>
      <c r="V9" s="31">
        <v>46053</v>
      </c>
      <c r="W9" s="33">
        <f>V9-U9</f>
        <v>0</v>
      </c>
      <c r="X9" s="31">
        <v>46128</v>
      </c>
      <c r="Y9" s="31">
        <v>46148</v>
      </c>
      <c r="Z9" s="32">
        <f>Y9-X9</f>
        <v>20</v>
      </c>
    </row>
    <row r="10" spans="1:26" x14ac:dyDescent="0.25">
      <c r="A10" s="14">
        <v>6</v>
      </c>
      <c r="B10" s="15" t="s">
        <v>106</v>
      </c>
      <c r="C10" s="15" t="s">
        <v>107</v>
      </c>
      <c r="D10" s="15" t="s">
        <v>108</v>
      </c>
      <c r="E10" s="15" t="s">
        <v>109</v>
      </c>
      <c r="F10" s="16">
        <f>'PF MF Side by Side'!K14</f>
        <v>2420000</v>
      </c>
      <c r="G10" s="16">
        <f>'PF MF Side by Side'!L14</f>
        <v>2420000</v>
      </c>
      <c r="H10" s="15"/>
      <c r="I10" s="16">
        <f>'PF MF Side by Side'!Q14</f>
        <v>267.86</v>
      </c>
      <c r="J10" s="16">
        <f>'PF MF Side by Side'!R14</f>
        <v>265.33999999999997</v>
      </c>
      <c r="K10" s="17">
        <f>'PF MF Side by Side'!S14</f>
        <v>-2.5200000000000387</v>
      </c>
      <c r="L10" s="16">
        <f>'PF MF Side by Side'!T14</f>
        <v>13485.6</v>
      </c>
      <c r="M10" s="16">
        <f>'PF MF Side by Side'!U14</f>
        <v>13516.51</v>
      </c>
      <c r="N10" s="17">
        <f>'PF MF Side by Side'!V14</f>
        <v>30.909999999999854</v>
      </c>
      <c r="O10" s="16">
        <f>'PF MF Side by Side'!AI14</f>
        <v>7651</v>
      </c>
      <c r="P10" s="16">
        <f>'PF MF Side by Side'!AJ14</f>
        <v>22588</v>
      </c>
      <c r="Q10" s="17">
        <f>'PF MF Side by Side'!AK14</f>
        <v>14937</v>
      </c>
      <c r="R10" s="18">
        <f>'PF MF Side by Side'!AO14</f>
        <v>0.41220000000000001</v>
      </c>
      <c r="S10" s="18">
        <f>'PF MF Side by Side'!AP14</f>
        <v>0.70040000000000002</v>
      </c>
      <c r="T10" s="19">
        <f>'PF MF Side by Side'!AQ14</f>
        <v>28.82</v>
      </c>
      <c r="U10" s="31">
        <v>46074</v>
      </c>
      <c r="V10" s="31">
        <v>46074</v>
      </c>
      <c r="W10" s="33">
        <f>V10-U10</f>
        <v>0</v>
      </c>
      <c r="X10" s="31">
        <v>46159</v>
      </c>
      <c r="Y10" s="31">
        <v>46204</v>
      </c>
      <c r="Z10" s="32">
        <f>Y10-X10</f>
        <v>45</v>
      </c>
    </row>
    <row r="11" spans="1:26" x14ac:dyDescent="0.25">
      <c r="A11" s="14">
        <v>7</v>
      </c>
      <c r="B11" s="15" t="s">
        <v>111</v>
      </c>
      <c r="C11" s="15" t="s">
        <v>112</v>
      </c>
      <c r="D11" s="15" t="s">
        <v>113</v>
      </c>
      <c r="E11" s="15" t="s">
        <v>114</v>
      </c>
      <c r="F11" s="16">
        <f>'PF MF Side by Side'!K15</f>
        <v>3300000</v>
      </c>
      <c r="G11" s="16">
        <f>'PF MF Side by Side'!L15</f>
        <v>3065000</v>
      </c>
      <c r="H11" s="17">
        <f>'PF MF Side by Side'!M15</f>
        <v>-235000</v>
      </c>
      <c r="I11" s="16">
        <f>'PF MF Side by Side'!Q15</f>
        <v>340.05</v>
      </c>
      <c r="J11" s="16">
        <f>'PF MF Side by Side'!R15</f>
        <v>316.2</v>
      </c>
      <c r="K11" s="17">
        <f>'PF MF Side by Side'!S15</f>
        <v>-23.850000000000023</v>
      </c>
      <c r="L11" s="16">
        <f>'PF MF Side by Side'!T15</f>
        <v>24831.71</v>
      </c>
      <c r="M11" s="16">
        <f>'PF MF Side by Side'!U15</f>
        <v>23228.14</v>
      </c>
      <c r="N11" s="17">
        <f>'PF MF Side by Side'!V15</f>
        <v>-1603.5699999999997</v>
      </c>
      <c r="O11" s="16">
        <f>'PF MF Side by Side'!AI15</f>
        <v>2500</v>
      </c>
      <c r="P11" s="16">
        <f>'PF MF Side by Side'!AJ15</f>
        <v>30508</v>
      </c>
      <c r="Q11" s="17">
        <f>'PF MF Side by Side'!AK15</f>
        <v>28008</v>
      </c>
      <c r="R11" s="18">
        <f>'PF MF Side by Side'!AO15</f>
        <v>0.49390000000000001</v>
      </c>
      <c r="S11" s="18">
        <f>'PF MF Side by Side'!AP15</f>
        <v>1.0361</v>
      </c>
      <c r="T11" s="19">
        <f>'PF MF Side by Side'!AQ15</f>
        <v>54.22</v>
      </c>
      <c r="U11" s="31">
        <v>46136</v>
      </c>
      <c r="V11" s="31">
        <v>46166</v>
      </c>
      <c r="W11" s="32">
        <f>V11-U11</f>
        <v>30</v>
      </c>
      <c r="X11" s="31">
        <v>46253</v>
      </c>
      <c r="Y11" s="31">
        <v>46296</v>
      </c>
      <c r="Z11" s="32">
        <f>Y11-X11</f>
        <v>43</v>
      </c>
    </row>
    <row r="12" spans="1:26" x14ac:dyDescent="0.25">
      <c r="A12" s="20">
        <v>8</v>
      </c>
      <c r="B12" s="21"/>
      <c r="C12" s="21"/>
      <c r="D12" s="25" t="s">
        <v>116</v>
      </c>
      <c r="E12" s="21" t="s">
        <v>117</v>
      </c>
      <c r="F12" s="21"/>
      <c r="G12" s="22">
        <f>'PF MF Side by Side'!L16</f>
        <v>935000</v>
      </c>
      <c r="H12" s="21"/>
      <c r="I12" s="21"/>
      <c r="J12" s="22">
        <f>'PF MF Side by Side'!R16</f>
        <v>103.9</v>
      </c>
      <c r="K12" s="21"/>
      <c r="L12" s="21"/>
      <c r="M12" s="22">
        <f>'PF MF Side by Side'!U16</f>
        <v>5486.43</v>
      </c>
      <c r="N12" s="21"/>
      <c r="O12" s="21"/>
      <c r="P12" s="22">
        <f>'PF MF Side by Side'!AJ16</f>
        <v>8519</v>
      </c>
      <c r="Q12" s="21"/>
      <c r="R12" s="21"/>
      <c r="S12" s="23">
        <f>'PF MF Side by Side'!AP16</f>
        <v>0.82579999999999998</v>
      </c>
      <c r="T12" s="21"/>
      <c r="U12" s="21"/>
      <c r="V12" s="21"/>
      <c r="W12" s="21"/>
      <c r="X12" s="36">
        <v>46011</v>
      </c>
      <c r="Y12" s="36">
        <v>46054</v>
      </c>
      <c r="Z12" s="37">
        <f>Y12-X12</f>
        <v>43</v>
      </c>
    </row>
  </sheetData>
  <mergeCells count="3">
    <mergeCell ref="A1:T1"/>
    <mergeCell ref="A3:T3"/>
    <mergeCell ref="A2:T2"/>
  </mergeCells>
  <pageMargins left="0.75" right="0.75" top="1" bottom="1" header="0.5" footer="0.5"/>
  <pageSetup paperSize="8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PF MF Side by Side</vt:lpstr>
      <vt:lpstr>PF MF Differences Only</vt:lpstr>
      <vt:lpstr>'PF MF Differences Only'!Print_Titles</vt:lpstr>
      <vt:lpstr>'PF MF Side by Side'!Print_Titles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hariprasath patchappalam</cp:lastModifiedBy>
  <dcterms:created xsi:type="dcterms:W3CDTF">2026-10-29T16:29:03Z</dcterms:created>
  <dcterms:modified xsi:type="dcterms:W3CDTF">2026-10-29T17:37:59Z</dcterms:modified>
</cp:coreProperties>
</file>